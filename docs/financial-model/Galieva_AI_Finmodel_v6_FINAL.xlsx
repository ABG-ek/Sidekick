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ssumptions" sheetId="1" state="visible" r:id="rId3"/>
    <sheet name="P&amp;L Monthly" sheetId="2" state="visible" r:id="rId4"/>
    <sheet name="Annual Summary" sheetId="3" state="visible" r:id="rId5"/>
    <sheet name="Sensitivity" sheetId="4" state="visible" r:id="rId6"/>
    <sheet name="Investor View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6" authorId="0">
      <text>
        <r>
          <rPr>
            <sz val="10"/>
            <rFont val="Arial"/>
            <family val="2"/>
          </rPr>
          <t xml:space="preserve">Себестоимость LLM на Gemini 3 Flash Preview ($0.50/1M input, $3/1M output):
Средняя операция = 5k input + 1k output + reasoning ~ 6-8k токенов
При курсе 90 ₽/$ и средневзвешенно 500 опер/клиент:
• 5М токенов × ~50 ₽/1М (смесь in/out) = ~250 ₽
• Embeddings + vector search: ~50-80 ₽
• Резерв на retry/heavy queries: ~10%
Итого: ~330 ₽/клиент при использовании context caching (90% скидка)
Стоимость 1 операции: ~0,66 ₽ — соответствует ценам Gemini 3 Flash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25" authorId="0">
      <text>
        <r>
          <rPr>
            <sz val="10"/>
            <rFont val="Arial"/>
            <family val="2"/>
          </rPr>
          <t xml:space="preserve">НДС в Y2 = 0 (предпосылка модели).
ОБОСНОВАНИЕ:
• Порог НДС с 2026: 20 млн ₽ (Assumptions!B67)
• Выручка Y2 = 40,87 млн ₽ → ВЫШЕ порога
• Кум. выручка превышает 20 млн на M20
• С M21 формально должен начисляться НДС 5%
ПОЧЕМУ НДС = 0:
Базовый сценарий предполагает успешное включение
в Реестр росс. ПО к M3 (заявка подана в M1).
По п. 26 ч. 2 ст. 149 НК РФ это даёт освобождение
от НДС по лицензионным договорам.
РИСК:
Если Реестр ПО не получен → НДС Y2 = 991 213 ₽
(потеря 6,4% от EBITDA Y2).
Стресс-тест см. в листе Sensitivity (блок Plan B).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ОБНОВЛЕНО под правила 2026.
Старый расчёт: экономия = 50% от взносов (по ставке 7,6% на весь ФОТ).
Давал 84/300/1440 тыс ₽ — это правила ДО 2026.
Новый расчёт 2026:
• МСП-тариф: 30% до 1,5 МРОТ (40 640 ₽) + 15% свыше
• IT-тариф: 15% до ЕПВБ (2,979 млн/год) + 7,6% свыше
• Экономия = разница тарифов (см. блок в Assumptions)
Реальный эффект меньше: IT-тариф теперь 15%, не 7,6% на весь ФОТ.
Y1 не проходит критерий зарплаты → аккредитация с Y2.</t>
        </r>
      </text>
    </comment>
  </commentList>
</comments>
</file>

<file path=xl/sharedStrings.xml><?xml version="1.0" encoding="utf-8"?>
<sst xmlns="http://schemas.openxmlformats.org/spreadsheetml/2006/main" count="657" uniqueCount="496">
  <si>
    <t xml:space="preserve">ФИНАНСОВАЯ МОДЕЛЬ — ПРЕДПОСЫЛКИ</t>
  </si>
  <si>
    <t xml:space="preserve">Синие значения — редактируемые предпосылки. Чёрные — формулы.</t>
  </si>
  <si>
    <t xml:space="preserve">ТАРИФЫ И ПРОДУКТ</t>
  </si>
  <si>
    <t xml:space="preserve">Параметр</t>
  </si>
  <si>
    <t xml:space="preserve">Значение</t>
  </si>
  <si>
    <t xml:space="preserve">Ед.</t>
  </si>
  <si>
    <t xml:space="preserve">Комментарий</t>
  </si>
  <si>
    <t xml:space="preserve">Цена тарифа Старт</t>
  </si>
  <si>
    <t xml:space="preserve">₽/мес</t>
  </si>
  <si>
    <t xml:space="preserve">Базовый тариф</t>
  </si>
  <si>
    <t xml:space="preserve">Цена тарифа Pro</t>
  </si>
  <si>
    <t xml:space="preserve">Якорный тариф</t>
  </si>
  <si>
    <t xml:space="preserve">Цена тарифа Business</t>
  </si>
  <si>
    <t xml:space="preserve">₽/мес/магазин</t>
  </si>
  <si>
    <t xml:space="preserve">От 3 точек</t>
  </si>
  <si>
    <t xml:space="preserve">Доля Старт среди платящих</t>
  </si>
  <si>
    <t xml:space="preserve">%</t>
  </si>
  <si>
    <t xml:space="preserve">Доля Pro среди платящих</t>
  </si>
  <si>
    <t xml:space="preserve">Доля Business среди платящих</t>
  </si>
  <si>
    <t xml:space="preserve">Сумма долей = 100%</t>
  </si>
  <si>
    <t xml:space="preserve">Blended ARPU (платящие)</t>
  </si>
  <si>
    <t xml:space="preserve">Формула: средневзвешенная</t>
  </si>
  <si>
    <t xml:space="preserve">РОСТ КЛИЕНТОВ (платящие)</t>
  </si>
  <si>
    <t xml:space="preserve">Клиенты на M3 (старт продаж)</t>
  </si>
  <si>
    <t xml:space="preserve">клиентов</t>
  </si>
  <si>
    <t xml:space="preserve">Из плана </t>
  </si>
  <si>
    <t xml:space="preserve">Клиенты на M9 (break-even)</t>
  </si>
  <si>
    <t xml:space="preserve">Точка безубыточности</t>
  </si>
  <si>
    <t xml:space="preserve">Клиенты на M12 (конец Y1)</t>
  </si>
  <si>
    <t xml:space="preserve">Клиенты на M24 (конец Y2)</t>
  </si>
  <si>
    <t xml:space="preserve">Клиенты на M36 (конец Y3)</t>
  </si>
  <si>
    <t xml:space="preserve">1% SOM</t>
  </si>
  <si>
    <t xml:space="preserve">Месячный churn</t>
  </si>
  <si>
    <t xml:space="preserve">≤5%/мес из плана</t>
  </si>
  <si>
    <t xml:space="preserve">ПЕРЕМЕННЫЕ РАСХОДЫ (на клиента)</t>
  </si>
  <si>
    <t xml:space="preserve">LLM-затраты на клиента (медиана)</t>
  </si>
  <si>
    <t xml:space="preserve">₽/мес/клиент</t>
  </si>
  <si>
    <t xml:space="preserve">Sonnet+Haiku+Gemini c кешем</t>
  </si>
  <si>
    <t xml:space="preserve">Эквайринг (% от выручки)</t>
  </si>
  <si>
    <t xml:space="preserve">Стандарт 2.5%</t>
  </si>
  <si>
    <t xml:space="preserve">Партнёрская комиссия (% от выручки)</t>
  </si>
  <si>
    <t xml:space="preserve">15% по плану</t>
  </si>
  <si>
    <t xml:space="preserve">ИНФРАСТРУКТУРА (фикс. часть, ₽/мес)</t>
  </si>
  <si>
    <t xml:space="preserve">Статья</t>
  </si>
  <si>
    <t xml:space="preserve">Y1 avg</t>
  </si>
  <si>
    <t xml:space="preserve">Y2 avg</t>
  </si>
  <si>
    <t xml:space="preserve">Y3 avg</t>
  </si>
  <si>
    <t xml:space="preserve">Compute (Yandex Cloud / Selectel)</t>
  </si>
  <si>
    <t xml:space="preserve">Object Storage (S3)</t>
  </si>
  <si>
    <t xml:space="preserve">Managed PostgreSQL</t>
  </si>
  <si>
    <t xml:space="preserve">Мониторинг (Sentry, Grafana)</t>
  </si>
  <si>
    <t xml:space="preserve">Email/SMS уведомления</t>
  </si>
  <si>
    <t xml:space="preserve">Domain, CDN, SSL, backup</t>
  </si>
  <si>
    <t xml:space="preserve">Dev-tools (GitHub, Linear, Notion)</t>
  </si>
  <si>
    <t xml:space="preserve">ИТОГО инфраструктура</t>
  </si>
  <si>
    <t xml:space="preserve">ФОТ И ВЗНОСЫ (₽/мес для компании)</t>
  </si>
  <si>
    <t xml:space="preserve">ФОТ (зарплата до НДФЛ)</t>
  </si>
  <si>
    <t xml:space="preserve">Страховые взносы МСП</t>
  </si>
  <si>
    <t xml:space="preserve">ИТОГО ФОТ + взносы</t>
  </si>
  <si>
    <t xml:space="preserve">G&amp;A — АДМИНИСТРАТИВНЫЕ РАСХОДЫ (₽/мес)</t>
  </si>
  <si>
    <t xml:space="preserve">Бухгалтерия</t>
  </si>
  <si>
    <t xml:space="preserve">Юрист</t>
  </si>
  <si>
    <t xml:space="preserve">Офис / коворкинг</t>
  </si>
  <si>
    <t xml:space="preserve">Банк РКО</t>
  </si>
  <si>
    <t xml:space="preserve">Связь, канцелярия</t>
  </si>
  <si>
    <t xml:space="preserve">1С / CRM / корп.подписки</t>
  </si>
  <si>
    <t xml:space="preserve">ДМС сотрудников</t>
  </si>
  <si>
    <t xml:space="preserve">HR / рекрутинг (avg)</t>
  </si>
  <si>
    <t xml:space="preserve">Командировки, события, выставки</t>
  </si>
  <si>
    <t xml:space="preserve">Безопасность / аудит / страхование</t>
  </si>
  <si>
    <t xml:space="preserve">Маркетинг</t>
  </si>
  <si>
    <t xml:space="preserve">Подытог G&amp;A</t>
  </si>
  <si>
    <t xml:space="preserve">Резерв на непредвиденное (5%)</t>
  </si>
  <si>
    <t xml:space="preserve">ИТОГО G&amp;A + резерв</t>
  </si>
  <si>
    <t xml:space="preserve">НАЛОГОВЫЙ РЕЖИМ</t>
  </si>
  <si>
    <t xml:space="preserve">Ставка УСН Доходы</t>
  </si>
  <si>
    <t xml:space="preserve">Применяется Y1-Y2</t>
  </si>
  <si>
    <t xml:space="preserve">Порог НДС для УСН</t>
  </si>
  <si>
    <t xml:space="preserve">₽/год</t>
  </si>
  <si>
    <t xml:space="preserve">С 2026: порог снижен с 60 до 20 млн ₽ (ФЗ № 176-ФЗ)</t>
  </si>
  <si>
    <t xml:space="preserve">Льготная ставка НДС (УСН)</t>
  </si>
  <si>
    <t xml:space="preserve">При выручке 20-272,5 млн ₽/год (дефлятор 1,090 на 2026)</t>
  </si>
  <si>
    <t xml:space="preserve">МРОТ (для расчёта взносов)</t>
  </si>
  <si>
    <t xml:space="preserve">2026 г.</t>
  </si>
  <si>
    <t xml:space="preserve">ГРАНТ И ИНВЕСТИЦИИ</t>
  </si>
  <si>
    <t xml:space="preserve">Грант (получен на M0)</t>
  </si>
  <si>
    <t xml:space="preserve">₽</t>
  </si>
  <si>
    <t xml:space="preserve">Первоначальный кэш</t>
  </si>
  <si>
    <t xml:space="preserve">ТАРИФНАЯ СЕТКА С ДВОЙНЫМ ЛИМИТОМ (операции + токены)</t>
  </si>
  <si>
    <t xml:space="preserve">Тариф</t>
  </si>
  <si>
    <t xml:space="preserve">Цена, ₽/мес</t>
  </si>
  <si>
    <t xml:space="preserve">Лимит опер.</t>
  </si>
  <si>
    <t xml:space="preserve">Лимит токенов</t>
  </si>
  <si>
    <t xml:space="preserve">Доля</t>
  </si>
  <si>
    <t xml:space="preserve">ПРОМО</t>
  </si>
  <si>
    <t xml:space="preserve">300k</t>
  </si>
  <si>
    <t xml:space="preserve">Пробн.</t>
  </si>
  <si>
    <t xml:space="preserve">Пробный период (7-14 дней)</t>
  </si>
  <si>
    <t xml:space="preserve">СТАРТ</t>
  </si>
  <si>
    <t xml:space="preserve">2М</t>
  </si>
  <si>
    <t xml:space="preserve">50%</t>
  </si>
  <si>
    <t xml:space="preserve">Микромагазин, 5-10 опер/день</t>
  </si>
  <si>
    <t xml:space="preserve">ПРО</t>
  </si>
  <si>
    <t xml:space="preserve">5М</t>
  </si>
  <si>
    <t xml:space="preserve">35%</t>
  </si>
  <si>
    <t xml:space="preserve">Активный магазин, 15-25 опер/день</t>
  </si>
  <si>
    <t xml:space="preserve">БИЗНЕС</t>
  </si>
  <si>
    <t xml:space="preserve">15М</t>
  </si>
  <si>
    <t xml:space="preserve">15%</t>
  </si>
  <si>
    <t xml:space="preserve">Сеть 2-3 точек, 50+ опер/день</t>
  </si>
  <si>
    <t xml:space="preserve">PAY-AS-YOU-GO (двойной счётчик, AND-логика)</t>
  </si>
  <si>
    <t xml:space="preserve">Цена сверх квоты по операциям</t>
  </si>
  <si>
    <t xml:space="preserve">₽/опер</t>
  </si>
  <si>
    <t xml:space="preserve">~13× от себестоимости (~0,66 ₽/опер)</t>
  </si>
  <si>
    <t xml:space="preserve">Цена сверх квоты по токенам</t>
  </si>
  <si>
    <t xml:space="preserve">₽/1М ток.</t>
  </si>
  <si>
    <t xml:space="preserve">~22× от input-цены Gemini 3 Flash (~45 ₽/1М)</t>
  </si>
  <si>
    <t xml:space="preserve">Логика биллинга</t>
  </si>
  <si>
    <t xml:space="preserve">AND</t>
  </si>
  <si>
    <t xml:space="preserve">Срабатывает лимит, который наступит раньше</t>
  </si>
  <si>
    <t xml:space="preserve">РАСЧЁТ СЕБЕСТОИМОСТИ ОПЕРАЦИИ — GEMINI 3 FLASH PREVIEW</t>
  </si>
  <si>
    <t xml:space="preserve">Цена input (Gemini 3 Flash Preview)</t>
  </si>
  <si>
    <t xml:space="preserve">$/1М ток.</t>
  </si>
  <si>
    <t xml:space="preserve">Источник: openrouter.ai, ai.google.dev (декабрь 2025)</t>
  </si>
  <si>
    <t xml:space="preserve">Цена output (Gemini 3 Flash Preview)</t>
  </si>
  <si>
    <t xml:space="preserve">С учётом reasoning токенов (2-3× от 2.5 Flash)</t>
  </si>
  <si>
    <t xml:space="preserve">Курс USD/RUB</t>
  </si>
  <si>
    <t xml:space="preserve">₽/$</t>
  </si>
  <si>
    <t xml:space="preserve">Применяется к расчётам себестоимости</t>
  </si>
  <si>
    <t xml:space="preserve">Средняя операция: input</t>
  </si>
  <si>
    <t xml:space="preserve">токенов</t>
  </si>
  <si>
    <t xml:space="preserve">Фото упаковки + промпт инструкции</t>
  </si>
  <si>
    <t xml:space="preserve">Средняя операция: output</t>
  </si>
  <si>
    <t xml:space="preserve">Структурированный ответ JSON</t>
  </si>
  <si>
    <t xml:space="preserve">Стоимость 1 операции (без кеша)</t>
  </si>
  <si>
    <t xml:space="preserve">Чистая стоимость токенов</t>
  </si>
  <si>
    <t xml:space="preserve">Скидка от context caching</t>
  </si>
  <si>
    <t xml:space="preserve">% от input</t>
  </si>
  <si>
    <t xml:space="preserve">Системные промпты, повторяющиеся данные</t>
  </si>
  <si>
    <t xml:space="preserve">Стоимость 1 операции (с кешем 90%)</t>
  </si>
  <si>
    <t xml:space="preserve">При кешировании 70% input-токенов</t>
  </si>
  <si>
    <t xml:space="preserve">Резерв на embeddings + vector search</t>
  </si>
  <si>
    <t xml:space="preserve">Гранулярный поиск по товарной базе</t>
  </si>
  <si>
    <t xml:space="preserve">ИТОГО себестоимость 1 операции</t>
  </si>
  <si>
    <t xml:space="preserve">Целевой показатель ≤0,70 ₽/опер</t>
  </si>
  <si>
    <t xml:space="preserve">НАЛОГИ И ВЗНОСЫ 2026 — ПОЯСНЕНИЯ</t>
  </si>
  <si>
    <t xml:space="preserve">Период</t>
  </si>
  <si>
    <t xml:space="preserve">НДС в Y1 (выручка 2,97 млн ₽)</t>
  </si>
  <si>
    <t xml:space="preserve">Y1</t>
  </si>
  <si>
    <t xml:space="preserve">Ниже порога 20 млн ₽ → освобождение (ст. 145 НК РФ)</t>
  </si>
  <si>
    <t xml:space="preserve">НДС в Y2 (выручка 40,87 млн ₽)</t>
  </si>
  <si>
    <t xml:space="preserve">Y2</t>
  </si>
  <si>
    <t xml:space="preserve">Реестр росс. ПО (M3): осв. п.26 ч.2 ст.149 НК РФ</t>
  </si>
  <si>
    <t xml:space="preserve">НДС в Y3 — база (консерват.)</t>
  </si>
  <si>
    <t xml:space="preserve">5%</t>
  </si>
  <si>
    <t xml:space="preserve">Y3</t>
  </si>
  <si>
    <t xml:space="preserve">Запас на риск пересмотра/исключения из Реестра ПО</t>
  </si>
  <si>
    <t xml:space="preserve">НДС в Y3 — апсайд (рычаг C)</t>
  </si>
  <si>
    <t xml:space="preserve">При удержании Реестра ПО → экономия 9,25 млн ₽</t>
  </si>
  <si>
    <t xml:space="preserve">Базовая ставка НДС РФ 2026</t>
  </si>
  <si>
    <t xml:space="preserve">22%</t>
  </si>
  <si>
    <t xml:space="preserve">справочно</t>
  </si>
  <si>
    <t xml:space="preserve">С 01.01.2026 выросла с 20% до 22%</t>
  </si>
  <si>
    <t xml:space="preserve">УСН Доходы</t>
  </si>
  <si>
    <t xml:space="preserve">6%</t>
  </si>
  <si>
    <t xml:space="preserve">Y1-Y3</t>
  </si>
  <si>
    <t xml:space="preserve">Применяется со всей выручки</t>
  </si>
  <si>
    <t xml:space="preserve">Взносы МСП (база)</t>
  </si>
  <si>
    <t xml:space="preserve">30% / 15%</t>
  </si>
  <si>
    <t xml:space="preserve">30% до 1,5 МРОТ + 15% свыше — для МСП</t>
  </si>
  <si>
    <t xml:space="preserve">Взносы IT-аккредит. (2026)</t>
  </si>
  <si>
    <t xml:space="preserve">15% / 7,6%</t>
  </si>
  <si>
    <t xml:space="preserve">рычаг A</t>
  </si>
  <si>
    <t xml:space="preserve">С 2026: 15% до ЕПВБ (2,979 млн/год) + 7,6% свыше</t>
  </si>
  <si>
    <t xml:space="preserve">Эффект IT-аккредитации</t>
  </si>
  <si>
    <t xml:space="preserve">~0,7-1,4 млн ₽</t>
  </si>
  <si>
    <t xml:space="preserve">3 года</t>
  </si>
  <si>
    <t xml:space="preserve">Меньше прежнего: правила ужесточились с 28.11.2025</t>
  </si>
  <si>
    <t xml:space="preserve">ДЕТАЛИЗАЦИЯ МАРКЕТИНГА ПО КАНАЛАМ (Y3: 600 тыс ₽/мес)</t>
  </si>
  <si>
    <t xml:space="preserve">Канал</t>
  </si>
  <si>
    <t xml:space="preserve">Y1, ₽/мес</t>
  </si>
  <si>
    <t xml:space="preserve">Y2, ₽/мес</t>
  </si>
  <si>
    <t xml:space="preserve">Y3, ₽/мес</t>
  </si>
  <si>
    <t xml:space="preserve">Доля Y3</t>
  </si>
  <si>
    <t xml:space="preserve">KPI / Обоснование</t>
  </si>
  <si>
    <t xml:space="preserve">Performance (Яндекс.Директ, VK)</t>
  </si>
  <si>
    <t xml:space="preserve">33%</t>
  </si>
  <si>
    <t xml:space="preserve">CPL 800-1200 ₽, ROAS ≥3×, целевые ключи "приёмка товара"</t>
  </si>
  <si>
    <t xml:space="preserve">Контент + SEO (блог, видео)</t>
  </si>
  <si>
    <t xml:space="preserve">25%</t>
  </si>
  <si>
    <t xml:space="preserve">Контент-маркетолог + SEO-спец, 8-10 материалов/мес</t>
  </si>
  <si>
    <t xml:space="preserve">Мероприятия и выставки</t>
  </si>
  <si>
    <t xml:space="preserve">17%</t>
  </si>
  <si>
    <t xml:space="preserve">4 выставки в год по ~300 тыс. (ПРОДЭКСПО, "Магазин", IT-форумы)</t>
  </si>
  <si>
    <t xml:space="preserve">SMM (Telegram, VK, RuTube)</t>
  </si>
  <si>
    <t xml:space="preserve">8%</t>
  </si>
  <si>
    <t xml:space="preserve">SMM-щик + дизайн, 3-4 поста/нед в Telegram</t>
  </si>
  <si>
    <t xml:space="preserve">PR + партнёрский контент</t>
  </si>
  <si>
    <t xml:space="preserve">РБК Pro, отраслевые блоги</t>
  </si>
  <si>
    <t xml:space="preserve">Тест новых каналов + резерв</t>
  </si>
  <si>
    <t xml:space="preserve">A/B-тесты, инфлюенсеры, эксперименты</t>
  </si>
  <si>
    <t xml:space="preserve">ИТОГО маркетинг</t>
  </si>
  <si>
    <t xml:space="preserve">100%</t>
  </si>
  <si>
    <t xml:space="preserve">Должно совпасть со строкой Маркетинг (B59/C59/D59)</t>
  </si>
  <si>
    <t xml:space="preserve">БЕНЧМАРК-ПРОВЕРКА vs B2B SaaS</t>
  </si>
  <si>
    <t xml:space="preserve">Маркетинг как % от выручки Y3</t>
  </si>
  <si>
    <t xml:space="preserve">120k/2,97 млн = 4%</t>
  </si>
  <si>
    <t xml:space="preserve">1,2 млн/40,87 млн = 2,9%</t>
  </si>
  <si>
    <t xml:space="preserve">7,2 млн/185 млн = 3,9%</t>
  </si>
  <si>
    <t xml:space="preserve">Бенчмарк B2B SaaS: 8-15% (зрелые), 20-40% (growth)</t>
  </si>
  <si>
    <t xml:space="preserve">Партнёрская комиссия (косвенный S&amp;M)</t>
  </si>
  <si>
    <t xml:space="preserve">~10% выручки</t>
  </si>
  <si>
    <t xml:space="preserve">15% выручки</t>
  </si>
  <si>
    <t xml:space="preserve">Учитывается в COGS, но это тоже привлечение</t>
  </si>
  <si>
    <t xml:space="preserve">Полный S&amp;M (маркет + партнёрка)</t>
  </si>
  <si>
    <t xml:space="preserve">14% выручки</t>
  </si>
  <si>
    <t xml:space="preserve">17,9% выручки</t>
  </si>
  <si>
    <t xml:space="preserve">18,9% выручки</t>
  </si>
  <si>
    <t xml:space="preserve">НА НИЖНЕЙ ГРАНИЦЕ бенчмарка B2B SaaS</t>
  </si>
  <si>
    <t xml:space="preserve">ЮНИТ-ЭКОНОМИКА МАРКЕТИНГА Y3</t>
  </si>
  <si>
    <t xml:space="preserve">Бюджет маркетинга Y3</t>
  </si>
  <si>
    <t xml:space="preserve">7,2 млн ₽/год</t>
  </si>
  <si>
    <t xml:space="preserve">600k/мес × 12 мес</t>
  </si>
  <si>
    <t xml:space="preserve">Прирост клиентов в Y3</t>
  </si>
  <si>
    <t xml:space="preserve">~8 240</t>
  </si>
  <si>
    <t xml:space="preserve">С 2 500 до 10 741 + churn 4%/мес</t>
  </si>
  <si>
    <t xml:space="preserve">Доля маркетингового канала</t>
  </si>
  <si>
    <t xml:space="preserve">~40%</t>
  </si>
  <si>
    <t xml:space="preserve">Остальное: партнёры 45%, OEM 10%, органика 5%</t>
  </si>
  <si>
    <t xml:space="preserve">Клиентов от маркетинга</t>
  </si>
  <si>
    <t xml:space="preserve">~3 300</t>
  </si>
  <si>
    <t xml:space="preserve">8 240 × 40%</t>
  </si>
  <si>
    <t xml:space="preserve">CAC через маркетинг</t>
  </si>
  <si>
    <t xml:space="preserve">~2 200 ₽</t>
  </si>
  <si>
    <t xml:space="preserve">7,2 млн / 3 300 клиентов</t>
  </si>
  <si>
    <t xml:space="preserve">LTV (ARPU × 1/churn × GM)</t>
  </si>
  <si>
    <t xml:space="preserve">37 400 ₽</t>
  </si>
  <si>
    <t xml:space="preserve">2 215 × 25 × 0,676</t>
  </si>
  <si>
    <t xml:space="preserve">LTV/CAC через маркетинг</t>
  </si>
  <si>
    <t xml:space="preserve">17×</t>
  </si>
  <si>
    <t xml:space="preserve">Выдающийся показатель))) (бенчмарк ≥3×)</t>
  </si>
  <si>
    <t xml:space="preserve">Окупаемость маркет.затрат</t>
  </si>
  <si>
    <t xml:space="preserve">1,5 месяца</t>
  </si>
  <si>
    <t xml:space="preserve">2 200 / (2 215 × 0,676)</t>
  </si>
  <si>
    <t xml:space="preserve">РАСЧЁТ СТРАХОВЫХ ВЗНОСОВ 2026 — IT-АККРЕДИТАЦИЯ (рычаг A)</t>
  </si>
  <si>
    <t xml:space="preserve">ПАРАМЕТРЫ 2026 (официальные)</t>
  </si>
  <si>
    <t xml:space="preserve">МРОТ 2026</t>
  </si>
  <si>
    <t xml:space="preserve">Федеральный МРОТ с 01.01.2026</t>
  </si>
  <si>
    <t xml:space="preserve">1,5 МРОТ (порог МСП-тарифа)</t>
  </si>
  <si>
    <t xml:space="preserve">Граница 30%/15% для МСП</t>
  </si>
  <si>
    <t xml:space="preserve">ЕПВБ 2026 (год)</t>
  </si>
  <si>
    <t xml:space="preserve">Единая предельная база (Пост. № 1705)</t>
  </si>
  <si>
    <t xml:space="preserve">ЕПВБ в месяц</t>
  </si>
  <si>
    <t xml:space="preserve">Граница 15%/7,6% для IT</t>
  </si>
  <si>
    <t xml:space="preserve">Средняя ЗП по РФ 2026</t>
  </si>
  <si>
    <t xml:space="preserve">Критерий аккредитации (прогноз Минэка)</t>
  </si>
  <si>
    <t xml:space="preserve">Источник</t>
  </si>
  <si>
    <t xml:space="preserve">Число сотрудников</t>
  </si>
  <si>
    <t xml:space="preserve">Слайд: команда 2 → 10 чел</t>
  </si>
  <si>
    <t xml:space="preserve">ФОТ всего (₽/мес)</t>
  </si>
  <si>
    <t xml:space="preserve">Из блока ФОТ (строка 43)</t>
  </si>
  <si>
    <t xml:space="preserve">Зарплата на сотрудника (₽/мес)</t>
  </si>
  <si>
    <t xml:space="preserve">ФОТ / число сотрудников</t>
  </si>
  <si>
    <t xml:space="preserve">Проходит критерий ЗП?</t>
  </si>
  <si>
    <t xml:space="preserve">ЗП ≥ средней по РФ или региону</t>
  </si>
  <si>
    <t xml:space="preserve">Взносы МСП-тариф (₽/год)</t>
  </si>
  <si>
    <t xml:space="preserve">30% до 1,5 МРОТ + 15% свыше</t>
  </si>
  <si>
    <t xml:space="preserve">Взносы IT-тариф (₽/год)</t>
  </si>
  <si>
    <t xml:space="preserve">15% до ЕПВБ + 7,6% свыше</t>
  </si>
  <si>
    <t xml:space="preserve">ЭКОНОМИЯ от IT-аккредитации (₽/год)</t>
  </si>
  <si>
    <t xml:space="preserve">Это рычаг A в Sensitivity</t>
  </si>
  <si>
    <t xml:space="preserve">ВАЖНО:</t>
  </si>
  <si>
    <t xml:space="preserve">Y1 не проходит критерий зарплаты → аккредитация реально с Y2</t>
  </si>
  <si>
    <t xml:space="preserve">Эффект 2026 МЕНЬШЕ старого расчёта: IT-тариф 15% (не 7,6% на весь ФОТ)</t>
  </si>
  <si>
    <t xml:space="preserve">Старый расчёт давал 84/300/1440 тыс — это правила до 2026</t>
  </si>
  <si>
    <t xml:space="preserve">ПОМЕСЯЧНЫЙ P&amp;L — 36 МЕСЯЦЕВ</t>
  </si>
  <si>
    <t xml:space="preserve">Месяц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</si>
  <si>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</si>
  <si>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</si>
  <si>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</si>
  <si>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</si>
  <si>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</si>
  <si>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</si>
  <si>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</si>
  <si>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</si>
  <si>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</si>
  <si>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</si>
  <si>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</si>
  <si>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</si>
  <si>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</si>
  <si>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</si>
  <si>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</si>
  <si>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</si>
  <si>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</si>
  <si>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</si>
  <si>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</si>
  <si>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</si>
  <si>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</si>
  <si>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</si>
  <si>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</si>
  <si>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</si>
  <si>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</si>
  <si>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</si>
  <si>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</si>
  <si>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</si>
  <si>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</si>
  <si>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</si>
  <si>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</si>
  <si>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</si>
  <si>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</si>
  <si>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</si>
  <si>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</si>
  <si>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</si>
  <si>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Год</t>
  </si>
  <si>
    <t xml:space="preserve">КЛИЕНТЫ И ВЫРУЧКА</t>
  </si>
  <si>
    <t xml:space="preserve">Активные клиенты</t>
  </si>
  <si>
    <t xml:space="preserve">Выручка (₽)</t>
  </si>
  <si>
    <t xml:space="preserve">ПЕРЕМЕННЫЕ РАСХОДЫ</t>
  </si>
  <si>
    <t xml:space="preserve">LLM API</t>
  </si>
  <si>
    <t xml:space="preserve">Эквайринг 2.5%</t>
  </si>
  <si>
    <t xml:space="preserve">Партнёрская комиссия 15%</t>
  </si>
  <si>
    <t xml:space="preserve">Итого переменных</t>
  </si>
  <si>
    <t xml:space="preserve">Gross Profit</t>
  </si>
  <si>
    <t xml:space="preserve">Gross margin %</t>
  </si>
  <si>
    <t xml:space="preserve">ФИКС. РАСХОДЫ (по году)</t>
  </si>
  <si>
    <t xml:space="preserve">Инфраструктура</t>
  </si>
  <si>
    <t xml:space="preserve">ФОТ + взносы</t>
  </si>
  <si>
    <t xml:space="preserve">G&amp;A + резерв</t>
  </si>
  <si>
    <t xml:space="preserve">Итого фиксированных</t>
  </si>
  <si>
    <t xml:space="preserve">НАЛОГИ</t>
  </si>
  <si>
    <t xml:space="preserve">УСН 6%</t>
  </si>
  <si>
    <t xml:space="preserve">НДС 5% (от Y3)</t>
  </si>
  <si>
    <t xml:space="preserve">Итого налогов</t>
  </si>
  <si>
    <t xml:space="preserve">ИТОГИ</t>
  </si>
  <si>
    <t xml:space="preserve">Всего расходов</t>
  </si>
  <si>
    <t xml:space="preserve">EBITDA</t>
  </si>
  <si>
    <t xml:space="preserve">EBITDA margin</t>
  </si>
  <si>
    <t xml:space="preserve">Грант + кэш</t>
  </si>
  <si>
    <t xml:space="preserve">ГОДОВАЯ СВОДКА</t>
  </si>
  <si>
    <t xml:space="preserve">Показатель</t>
  </si>
  <si>
    <t xml:space="preserve">Год 1</t>
  </si>
  <si>
    <t xml:space="preserve">Год 2</t>
  </si>
  <si>
    <t xml:space="preserve">Год 3</t>
  </si>
  <si>
    <t xml:space="preserve">Сумма 3 года</t>
  </si>
  <si>
    <t xml:space="preserve">Клиенты на конец года</t>
  </si>
  <si>
    <t xml:space="preserve">Выручка</t>
  </si>
  <si>
    <t xml:space="preserve">Эквайринг</t>
  </si>
  <si>
    <t xml:space="preserve">Партнёрская комиссия</t>
  </si>
  <si>
    <t xml:space="preserve">Налоги (УСН + НДС)</t>
  </si>
  <si>
    <t xml:space="preserve">ВСЕГО РАСХОДОВ</t>
  </si>
  <si>
    <t xml:space="preserve">ПРОИЗВОДНЫЕ МЕТРИКИ</t>
  </si>
  <si>
    <t xml:space="preserve">EBITDA margin %</t>
  </si>
  <si>
    <t xml:space="preserve">Рост выручки YoY</t>
  </si>
  <si>
    <t xml:space="preserve">N/A</t>
  </si>
  <si>
    <t xml:space="preserve">Rule of 40 (рост + EBITDA margin)</t>
  </si>
  <si>
    <t xml:space="preserve">ARPU (среднее за год)</t>
  </si>
  <si>
    <t xml:space="preserve">SENSITIVITY ANALYSIS — РЫЧАГИ ОПТИМИЗАЦИИ</t>
  </si>
  <si>
    <t xml:space="preserve">Каждый рычаг применим самостоятельно. Сценарий 'Все рычаги' — комбинированный эффект.</t>
  </si>
  <si>
    <t xml:space="preserve">ТРИ РЫЧАГА ОПТИМИЗАЦИИ</t>
  </si>
  <si>
    <t xml:space="preserve">Рычаг</t>
  </si>
  <si>
    <t xml:space="preserve">Эффект</t>
  </si>
  <si>
    <t xml:space="preserve">Y1 экономия</t>
  </si>
  <si>
    <t xml:space="preserve">Y2 экономия</t>
  </si>
  <si>
    <t xml:space="preserve">Y3 экономия</t>
  </si>
  <si>
    <t xml:space="preserve">A. IT-аккредитация</t>
  </si>
  <si>
    <t xml:space="preserve">Взносы МСП 30%/15% → IT 15%/7,6% (правила 2026)</t>
  </si>
  <si>
    <t xml:space="preserve">Снижение взносов (расчёт в Assumptions)</t>
  </si>
  <si>
    <t xml:space="preserve">B. LLM-оптимизация</t>
  </si>
  <si>
    <t xml:space="preserve">Caching + routing + рос. модели</t>
  </si>
  <si>
    <t xml:space="preserve">330 ₽ → 200 ₽/клиент</t>
  </si>
  <si>
    <t xml:space="preserve">C. Реестр росс. ПО</t>
  </si>
  <si>
    <t xml:space="preserve">НДС 5% → 0% при включении в реестр</t>
  </si>
  <si>
    <t xml:space="preserve">Освобождение от НДС</t>
  </si>
  <si>
    <t xml:space="preserve">ВСЕГО (все рычаги)</t>
  </si>
  <si>
    <t xml:space="preserve">EBITDA ПО СЦЕНАРИЯМ</t>
  </si>
  <si>
    <t xml:space="preserve">Сценарий</t>
  </si>
  <si>
    <t xml:space="preserve">Y1 EBITDA</t>
  </si>
  <si>
    <t xml:space="preserve">Y2 EBITDA</t>
  </si>
  <si>
    <t xml:space="preserve">Y3 EBITDA</t>
  </si>
  <si>
    <t xml:space="preserve">Кумулятив 3 года</t>
  </si>
  <si>
    <t xml:space="preserve">Δ к Base</t>
  </si>
  <si>
    <t xml:space="preserve">Base case (текущая модель)</t>
  </si>
  <si>
    <t xml:space="preserve">+ A: IT-аккредитация</t>
  </si>
  <si>
    <t xml:space="preserve">+ B: LLM-оптимизация</t>
  </si>
  <si>
    <t xml:space="preserve">+ C: Реестр росс. ПО</t>
  </si>
  <si>
    <t xml:space="preserve">ВСЕ РЫЧАГИ ВМЕСТЕ</t>
  </si>
  <si>
    <t xml:space="preserve">EBITDA MARGIN % ПО СЦЕНАРИЯМ</t>
  </si>
  <si>
    <t xml:space="preserve">Бенчмарк</t>
  </si>
  <si>
    <t xml:space="preserve">Base case</t>
  </si>
  <si>
    <t xml:space="preserve">Atlassian: 25%</t>
  </si>
  <si>
    <t xml:space="preserve">Veeva (top): 40%</t>
  </si>
  <si>
    <t xml:space="preserve">📌 ИТОГИ ДЛЯ ПИТЧА</t>
  </si>
  <si>
    <t xml:space="preserve">• Все три рычага реалистично применимы в течение Y2-Y3 (требуют документов и времени, но не доп.инвестиций)</t>
  </si>
  <si>
    <t xml:space="preserve">• При полной оптимизации EBITDA Y3 margin приближается к топ-квартилю vertical SaaS (40%+)</t>
  </si>
  <si>
    <t xml:space="preserve">• Кумулятивная EBITDA за 3 года вырастает без увеличения выручки — чистая операционная эффективность</t>
  </si>
  <si>
    <t xml:space="preserve">• Это можно показать инвестору как 'консервативный сценарий + три upside'</t>
  </si>
  <si>
    <t xml:space="preserve">PLAN B — СТРЕСС-ТЕСТ: ЗАДЕРЖКА С РЕЕСТРОМ РОССИЙСКОГО ПО</t>
  </si>
  <si>
    <t xml:space="preserve">Базовая модель предполагает включение в Реестр росс. ПО на M3. Если это не происходит — НДС начисляется в Y2 с момента, когда кум. выручка превысит 20 млн ₽.</t>
  </si>
  <si>
    <t xml:space="preserve">ХРОНОЛОГИЯ: КУМУЛЯТИВНАЯ ВЫРУЧКА Y2 ПРОТИВ ПОРОГА 20 МЛН ₽</t>
  </si>
  <si>
    <t xml:space="preserve">Выручка/мес</t>
  </si>
  <si>
    <t xml:space="preserve">Кум. выручка Y2</t>
  </si>
  <si>
    <t xml:space="preserve">Превышение порога?</t>
  </si>
  <si>
    <t xml:space="preserve">НДС начисляется?</t>
  </si>
  <si>
    <t xml:space="preserve">нет</t>
  </si>
  <si>
    <t xml:space="preserve">ДА</t>
  </si>
  <si>
    <t xml:space="preserve">нет (превышение в этом мес.)</t>
  </si>
  <si>
    <t xml:space="preserve">ДА: 218,731 ₽</t>
  </si>
  <si>
    <t xml:space="preserve">ДА: 238,112 ₽</t>
  </si>
  <si>
    <t xml:space="preserve">ДА: 257,494 ₽</t>
  </si>
  <si>
    <t xml:space="preserve">ДА: 276,875 ₽</t>
  </si>
  <si>
    <t xml:space="preserve">ИТОГО НДС Y2 в Plan B</t>
  </si>
  <si>
    <t xml:space="preserve">ВЛИЯНИЕ НА ФИНРЕЗУЛЬТАТЫ — БАЗА vs PLAN B</t>
  </si>
  <si>
    <t xml:space="preserve">База (Реестр ПО на M3)</t>
  </si>
  <si>
    <t xml:space="preserve">Plan B (без Реестра в Y2)</t>
  </si>
  <si>
    <t xml:space="preserve">Δ Plan B</t>
  </si>
  <si>
    <t xml:space="preserve">Δ %</t>
  </si>
  <si>
    <t xml:space="preserve">EBITDA Y2</t>
  </si>
  <si>
    <t xml:space="preserve">EBITDA margin Y2</t>
  </si>
  <si>
    <t xml:space="preserve">EBITDA Y3</t>
  </si>
  <si>
    <t xml:space="preserve">0%</t>
  </si>
  <si>
    <t xml:space="preserve">Кумулятивная EBITDA 3 года</t>
  </si>
  <si>
    <t xml:space="preserve">Месяц break-even</t>
  </si>
  <si>
    <t xml:space="preserve">M10 (не меняется)</t>
  </si>
  <si>
    <t xml:space="preserve">—</t>
  </si>
  <si>
    <t xml:space="preserve">МИТИГАЦИЯ РИСКА — ЧТО ДЕЛАЕМ</t>
  </si>
  <si>
    <t xml:space="preserve">M1: подача заявки в Реестр росс. ПО</t>
  </si>
  <si>
    <t xml:space="preserve">Через Госуслуги, срок рассмотрения 90 дней</t>
  </si>
  <si>
    <t xml:space="preserve">M2: подготовка документации</t>
  </si>
  <si>
    <t xml:space="preserve">Лицензионный договор + техническое описание + права</t>
  </si>
  <si>
    <t xml:space="preserve">M3: целевая дата включения</t>
  </si>
  <si>
    <t xml:space="preserve">К моменту первой выручки = НДС не возникает</t>
  </si>
  <si>
    <t xml:space="preserve">M1: подача на IT-аккредитацию Минцифры</t>
  </si>
  <si>
    <t xml:space="preserve">Параллельный трек, страхует льготы по взносам</t>
  </si>
  <si>
    <t xml:space="preserve">Резервный план</t>
  </si>
  <si>
    <t xml:space="preserve">Если реестр не получен к M20 — переход на УСН Доходы-Расходы 15%</t>
  </si>
  <si>
    <t xml:space="preserve">Юридическая страховка</t>
  </si>
  <si>
    <t xml:space="preserve">Договоры оформлены как лицензионные (не услуги)</t>
  </si>
  <si>
    <t xml:space="preserve">ИТОГ ДЛЯ ЗАЩИТЫ</t>
  </si>
  <si>
    <t xml:space="preserve">•</t>
  </si>
  <si>
    <t xml:space="preserve">Базовый сценарий: Реестр ПО получен M3 → НДС Y2 = 0 → EBITDA Y2 = 15,5 млн (38% маржа)</t>
  </si>
  <si>
    <t xml:space="preserve">Plan B (стресс): задержка с Реестром → НДС Y2 = 991 тыс ₽ → EBITDA Y2 = 14,5 млн (35,5%)</t>
  </si>
  <si>
    <t xml:space="preserve">Влияние на 3-летнюю модель: -1% от кумулятивной EBITDA → break-even М10 СОХРАНЯЕТСЯ</t>
  </si>
  <si>
    <t xml:space="preserve">Юнит-экономика, gross margin 68%, LTV/CAC 10,6× — НЕ ЗАВИСЯТ от Реестра ПО</t>
  </si>
  <si>
    <t xml:space="preserve">Plan B не убивает проект, только сдвигает прибыльность на ~1 месяц во 2-м году</t>
  </si>
  <si>
    <t xml:space="preserve">ЧУВСТВИТЕЛЬНОСТЬ EBITDA Y3 К МАРКЕТИНГОВОМУ БЮДЖЕТУ</t>
  </si>
  <si>
    <t xml:space="preserve">Модель: партнёрский канал + органика дают фикс. 5 000 клиентов в Y3. Маркетинг добавляет клиентов с эффектом diminishing returns.</t>
  </si>
  <si>
    <t xml:space="preserve">Бюджет/мес</t>
  </si>
  <si>
    <t xml:space="preserve">Бюджет/год</t>
  </si>
  <si>
    <t xml:space="preserve">Маркет.клиентов</t>
  </si>
  <si>
    <t xml:space="preserve">Всего клиентов Y3</t>
  </si>
  <si>
    <t xml:space="preserve">Выручка Y3</t>
  </si>
  <si>
    <t xml:space="preserve">Маржа Y3</t>
  </si>
  <si>
    <t xml:space="preserve">Δ vs база</t>
  </si>
  <si>
    <t xml:space="preserve">200k ₽</t>
  </si>
  <si>
    <t xml:space="preserve">400k ₽</t>
  </si>
  <si>
    <t xml:space="preserve">600k ₽</t>
  </si>
  <si>
    <t xml:space="preserve">800k ₽</t>
  </si>
  <si>
    <t xml:space="preserve">1000k ₽</t>
  </si>
  <si>
    <t xml:space="preserve">1200k ₽</t>
  </si>
  <si>
    <t xml:space="preserve">КОММЕНТАРИИ К СЦЕНАРИЯМ</t>
  </si>
  <si>
    <t xml:space="preserve">200k/мес</t>
  </si>
  <si>
    <t xml:space="preserve">Сильный недобор клиентов, downside-сценарий</t>
  </si>
  <si>
    <t xml:space="preserve">400k/мес</t>
  </si>
  <si>
    <t xml:space="preserve">Консервативный сценарий, экономия маркетинга</t>
  </si>
  <si>
    <t xml:space="preserve">600k/мес</t>
  </si>
  <si>
    <t xml:space="preserve">БАЗА (как в финмодели)</t>
  </si>
  <si>
    <t xml:space="preserve">800k/мес</t>
  </si>
  <si>
    <t xml:space="preserve">Агрессивный рост, верхняя граница операц.возможностей</t>
  </si>
  <si>
    <t xml:space="preserve">1000k/мес</t>
  </si>
  <si>
    <t xml:space="preserve">Перегрев каналов, рост CAC, риск качества лидов</t>
  </si>
  <si>
    <t xml:space="preserve">1200k/мес</t>
  </si>
  <si>
    <t xml:space="preserve">Saturation: бюджет растёт быстрее результата</t>
  </si>
  <si>
    <t xml:space="preserve">ВЫВОДЫ ПО ЧУВСТВИТЕЛЬНОСТИ</t>
  </si>
  <si>
    <t xml:space="preserve">600k/мес — оптимум: максимальная маржа Y3 (32%) при разумной операционной нагрузке</t>
  </si>
  <si>
    <t xml:space="preserve">Выше 800k/мес — diminishing returns: каждый рубль возвращается хуже из-за насыщения каналов</t>
  </si>
  <si>
    <t xml:space="preserve">Ниже 400k/мес — критичная потеря клиентов в Y3, точка безубыточности сдвигается</t>
  </si>
  <si>
    <t xml:space="preserve">EBITDA-маржа стабильна (30-32%) в диапазоне 400-1000k — модель устойчива к выбору бюджета</t>
  </si>
  <si>
    <t xml:space="preserve">Главный риск — операционная вместимость: 800k+ требует доп. 1-2 маркетологов (не заложено)</t>
  </si>
  <si>
    <t xml:space="preserve">КЛЮЧЕВЫЕ МЕТРИКИ ДЛЯ ИНВЕСТОРА</t>
  </si>
  <si>
    <t xml:space="preserve">Метрика</t>
  </si>
  <si>
    <t xml:space="preserve">Месяц break-even (EBITDA ≥ 0)</t>
  </si>
  <si>
    <t xml:space="preserve">Целевой M9</t>
  </si>
  <si>
    <t xml:space="preserve">Минимальный кэш-баланс</t>
  </si>
  <si>
    <t xml:space="preserve">Должен быть &gt; 0 → грант покрывает</t>
  </si>
  <si>
    <t xml:space="preserve">Кэш на конец Y1</t>
  </si>
  <si>
    <t xml:space="preserve">EBITDA margin Y3</t>
  </si>
  <si>
    <t xml:space="preserve">СТРУКТУРА ARPU</t>
  </si>
  <si>
    <t xml:space="preserve">Blended ARPU</t>
  </si>
  <si>
    <t xml:space="preserve">Средневзвешенная по тарифам</t>
  </si>
  <si>
    <t xml:space="preserve">Переменные расходы на клиента</t>
  </si>
  <si>
    <t xml:space="preserve">LLM + эквайринг + партнёр</t>
  </si>
  <si>
    <t xml:space="preserve">Gross margin на клиента</t>
  </si>
  <si>
    <t xml:space="preserve">Целевой ≥75%</t>
  </si>
  <si>
    <t xml:space="preserve">LTV (упрощённо, ARPU/churn × GM)</t>
  </si>
  <si>
    <t xml:space="preserve">При churn 4%/мес</t>
  </si>
  <si>
    <t xml:space="preserve">📌 Все цифры обновляются автоматически при изменении предпосылок на листе Assumptions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</si>
</sst>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* #,##0&quot; ₽&quot;_-;[RED]\-#,##0&quot; ₽&quot;;_-* \-_-;_-@_-"/>
    <numFmt numFmtId="166" formatCode="0.0%;[RED]\(0.0%\);\-"/>
    <numFmt numFmtId="167" formatCode="#,##0;\(#,##0\);\-"/>
    <numFmt numFmtId="168" formatCode="0.00"/>
    <numFmt numFmtId="169" formatCode="0%"/>
    <numFmt numFmtId="170" formatCode="#,##0"/>
    <numFmt numFmtId="171" formatCode="#,##0&quot; ₽&quot;"/>
    <numFmt numFmtId="172" formatCode="0.0&quot; pp&quot;"/>
    <numFmt numFmtId="173" formatCode="#,##0&quot; ₽&quot;"/>
    <numFmt numFmtId="174" formatCode="0.0%"/>
    <numFmt numFmtId="175" formatCode="#,##0&quot; ₽&quot;"/>
    <numFmt numFmtId="176" formatCode="\M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sz val="11"/>
      <color rgb="FF595959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1"/>
      <color rgb="FF375623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FFE0E0"/>
      </patternFill>
    </fill>
    <fill>
      <patternFill patternType="solid">
        <fgColor rgb="FFE7E6E6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F0D9"/>
        <bgColor rgb="FFE2EFDA"/>
      </patternFill>
    </fill>
    <fill>
      <patternFill patternType="solid">
        <fgColor rgb="FFC6EFCE"/>
        <bgColor rgb="FFC6E0B4"/>
      </patternFill>
    </fill>
    <fill>
      <patternFill patternType="solid">
        <fgColor rgb="FFFFE699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C6E0B4"/>
        <bgColor rgb="FFC6EFCE"/>
      </patternFill>
    </fill>
    <fill>
      <patternFill patternType="solid">
        <fgColor rgb="FFE2EFDA"/>
        <bgColor rgb="FFE2F0D9"/>
      </patternFill>
    </fill>
    <fill>
      <patternFill patternType="solid">
        <fgColor rgb="FFFFE0E0"/>
        <bgColor rgb="FFE7E6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E699"/>
      <rgbColor rgb="FFE7E6E6"/>
      <rgbColor rgb="FFE2EFDA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8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C39" activeCellId="0" sqref="C39"/>
    </sheetView>
  </sheetViews>
  <sheetFormatPr defaultColWidth="8.6875" defaultRowHeight="14.25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18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6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true" outlineLevel="0" collapsed="false">
      <c r="A6" s="5" t="s">
        <v>7</v>
      </c>
      <c r="B6" s="6" t="n">
        <v>1490</v>
      </c>
      <c r="C6" s="5" t="s">
        <v>8</v>
      </c>
      <c r="D6" s="7" t="s">
        <v>9</v>
      </c>
    </row>
    <row r="7" customFormat="false" ht="15" hidden="false" customHeight="true" outlineLevel="0" collapsed="false">
      <c r="A7" s="5" t="s">
        <v>10</v>
      </c>
      <c r="B7" s="6" t="n">
        <v>2490</v>
      </c>
      <c r="C7" s="5" t="s">
        <v>8</v>
      </c>
      <c r="D7" s="7" t="s">
        <v>11</v>
      </c>
    </row>
    <row r="8" customFormat="false" ht="15" hidden="false" customHeight="true" outlineLevel="0" collapsed="false">
      <c r="A8" s="5" t="s">
        <v>12</v>
      </c>
      <c r="B8" s="6" t="n">
        <v>3990</v>
      </c>
      <c r="C8" s="5" t="s">
        <v>13</v>
      </c>
      <c r="D8" s="7" t="s">
        <v>14</v>
      </c>
    </row>
    <row r="9" customFormat="false" ht="15" hidden="false" customHeight="true" outlineLevel="0" collapsed="false">
      <c r="A9" s="5" t="s">
        <v>15</v>
      </c>
      <c r="B9" s="8" t="n">
        <v>0.5</v>
      </c>
      <c r="C9" s="5" t="s">
        <v>16</v>
      </c>
      <c r="D9" s="7"/>
    </row>
    <row r="10" customFormat="false" ht="15" hidden="false" customHeight="true" outlineLevel="0" collapsed="false">
      <c r="A10" s="5" t="s">
        <v>17</v>
      </c>
      <c r="B10" s="8" t="n">
        <v>0.35</v>
      </c>
      <c r="C10" s="5" t="s">
        <v>16</v>
      </c>
      <c r="D10" s="7"/>
    </row>
    <row r="11" customFormat="false" ht="15" hidden="false" customHeight="true" outlineLevel="0" collapsed="false">
      <c r="A11" s="5" t="s">
        <v>18</v>
      </c>
      <c r="B11" s="8" t="n">
        <v>0.15</v>
      </c>
      <c r="C11" s="5" t="s">
        <v>16</v>
      </c>
      <c r="D11" s="7" t="s">
        <v>19</v>
      </c>
    </row>
    <row r="13" customFormat="false" ht="15" hidden="false" customHeight="true" outlineLevel="0" collapsed="false">
      <c r="A13" s="9" t="s">
        <v>20</v>
      </c>
      <c r="B13" s="10" t="n">
        <f aca="false">B6*B9+B7*B10+B8*B11</f>
        <v>2215</v>
      </c>
      <c r="C13" s="5" t="s">
        <v>8</v>
      </c>
      <c r="D13" s="7" t="s">
        <v>21</v>
      </c>
    </row>
    <row r="15" customFormat="false" ht="15" hidden="false" customHeight="true" outlineLevel="0" collapsed="false">
      <c r="A15" s="3" t="s">
        <v>22</v>
      </c>
      <c r="B15" s="3"/>
      <c r="C15" s="3"/>
      <c r="D15" s="3"/>
    </row>
    <row r="16" customFormat="false" ht="15" hidden="false" customHeight="true" outlineLevel="0" collapsed="false">
      <c r="A16" s="4" t="s">
        <v>3</v>
      </c>
      <c r="B16" s="4" t="s">
        <v>4</v>
      </c>
      <c r="C16" s="4" t="s">
        <v>5</v>
      </c>
      <c r="D16" s="4" t="s">
        <v>6</v>
      </c>
    </row>
    <row r="17" customFormat="false" ht="15" hidden="false" customHeight="true" outlineLevel="0" collapsed="false">
      <c r="A17" s="5" t="s">
        <v>23</v>
      </c>
      <c r="B17" s="11" t="n">
        <v>20</v>
      </c>
      <c r="C17" s="5" t="s">
        <v>24</v>
      </c>
      <c r="D17" s="7" t="s">
        <v>25</v>
      </c>
    </row>
    <row r="18" customFormat="false" ht="15" hidden="false" customHeight="true" outlineLevel="0" collapsed="false">
      <c r="A18" s="5" t="s">
        <v>26</v>
      </c>
      <c r="B18" s="11" t="n">
        <v>100</v>
      </c>
      <c r="C18" s="5" t="s">
        <v>24</v>
      </c>
      <c r="D18" s="7" t="s">
        <v>27</v>
      </c>
    </row>
    <row r="19" customFormat="false" ht="15" hidden="false" customHeight="true" outlineLevel="0" collapsed="false">
      <c r="A19" s="5" t="s">
        <v>28</v>
      </c>
      <c r="B19" s="11" t="n">
        <v>400</v>
      </c>
      <c r="C19" s="5" t="s">
        <v>24</v>
      </c>
      <c r="D19" s="7" t="s">
        <v>25</v>
      </c>
    </row>
    <row r="20" customFormat="false" ht="15" hidden="false" customHeight="true" outlineLevel="0" collapsed="false">
      <c r="A20" s="5" t="s">
        <v>29</v>
      </c>
      <c r="B20" s="11" t="n">
        <v>2500</v>
      </c>
      <c r="C20" s="5" t="s">
        <v>24</v>
      </c>
      <c r="D20" s="7" t="s">
        <v>25</v>
      </c>
    </row>
    <row r="21" customFormat="false" ht="15" hidden="false" customHeight="true" outlineLevel="0" collapsed="false">
      <c r="A21" s="5" t="s">
        <v>30</v>
      </c>
      <c r="B21" s="11" t="n">
        <v>10741</v>
      </c>
      <c r="C21" s="5" t="s">
        <v>24</v>
      </c>
      <c r="D21" s="7" t="s">
        <v>31</v>
      </c>
    </row>
    <row r="22" customFormat="false" ht="15" hidden="false" customHeight="true" outlineLevel="0" collapsed="false">
      <c r="A22" s="5" t="s">
        <v>32</v>
      </c>
      <c r="B22" s="8" t="n">
        <v>0.04</v>
      </c>
      <c r="C22" s="5" t="s">
        <v>16</v>
      </c>
      <c r="D22" s="7" t="s">
        <v>33</v>
      </c>
    </row>
    <row r="24" customFormat="false" ht="15" hidden="false" customHeight="true" outlineLevel="0" collapsed="false">
      <c r="A24" s="3" t="s">
        <v>34</v>
      </c>
      <c r="B24" s="3"/>
      <c r="C24" s="3"/>
      <c r="D24" s="3"/>
    </row>
    <row r="25" customFormat="false" ht="15" hidden="false" customHeight="true" outlineLevel="0" collapsed="false">
      <c r="A25" s="4" t="s">
        <v>3</v>
      </c>
      <c r="B25" s="4" t="s">
        <v>4</v>
      </c>
      <c r="C25" s="4" t="s">
        <v>5</v>
      </c>
      <c r="D25" s="4" t="s">
        <v>6</v>
      </c>
    </row>
    <row r="26" customFormat="false" ht="15" hidden="false" customHeight="true" outlineLevel="0" collapsed="false">
      <c r="A26" s="5" t="s">
        <v>35</v>
      </c>
      <c r="B26" s="6" t="n">
        <v>330</v>
      </c>
      <c r="C26" s="5" t="s">
        <v>36</v>
      </c>
      <c r="D26" s="7" t="s">
        <v>37</v>
      </c>
    </row>
    <row r="27" customFormat="false" ht="15" hidden="false" customHeight="true" outlineLevel="0" collapsed="false">
      <c r="A27" s="5" t="s">
        <v>38</v>
      </c>
      <c r="B27" s="8" t="n">
        <v>0.025</v>
      </c>
      <c r="C27" s="5" t="s">
        <v>16</v>
      </c>
      <c r="D27" s="7" t="s">
        <v>39</v>
      </c>
    </row>
    <row r="28" customFormat="false" ht="15" hidden="false" customHeight="true" outlineLevel="0" collapsed="false">
      <c r="A28" s="5" t="s">
        <v>40</v>
      </c>
      <c r="B28" s="8" t="n">
        <v>0.15</v>
      </c>
      <c r="C28" s="5" t="s">
        <v>16</v>
      </c>
      <c r="D28" s="7" t="s">
        <v>41</v>
      </c>
    </row>
    <row r="30" customFormat="false" ht="15" hidden="false" customHeight="true" outlineLevel="0" collapsed="false">
      <c r="A30" s="3" t="s">
        <v>42</v>
      </c>
      <c r="B30" s="3"/>
      <c r="C30" s="3"/>
      <c r="D30" s="3"/>
    </row>
    <row r="31" customFormat="false" ht="15" hidden="false" customHeight="true" outlineLevel="0" collapsed="false">
      <c r="A31" s="4" t="s">
        <v>43</v>
      </c>
      <c r="B31" s="4" t="s">
        <v>44</v>
      </c>
      <c r="C31" s="4" t="s">
        <v>45</v>
      </c>
      <c r="D31" s="4" t="s">
        <v>46</v>
      </c>
    </row>
    <row r="32" customFormat="false" ht="15" hidden="false" customHeight="true" outlineLevel="0" collapsed="false">
      <c r="A32" s="5" t="s">
        <v>47</v>
      </c>
      <c r="B32" s="6" t="n">
        <v>25000</v>
      </c>
      <c r="C32" s="6" t="n">
        <v>100000</v>
      </c>
      <c r="D32" s="6" t="n">
        <v>350000</v>
      </c>
    </row>
    <row r="33" customFormat="false" ht="15" hidden="false" customHeight="true" outlineLevel="0" collapsed="false">
      <c r="A33" s="5" t="s">
        <v>48</v>
      </c>
      <c r="B33" s="6" t="n">
        <v>4000</v>
      </c>
      <c r="C33" s="6" t="n">
        <v>12000</v>
      </c>
      <c r="D33" s="6" t="n">
        <v>50000</v>
      </c>
    </row>
    <row r="34" customFormat="false" ht="15" hidden="false" customHeight="true" outlineLevel="0" collapsed="false">
      <c r="A34" s="5" t="s">
        <v>49</v>
      </c>
      <c r="B34" s="6" t="n">
        <v>9000</v>
      </c>
      <c r="C34" s="6" t="n">
        <v>30000</v>
      </c>
      <c r="D34" s="6" t="n">
        <v>80000</v>
      </c>
    </row>
    <row r="35" customFormat="false" ht="15" hidden="false" customHeight="true" outlineLevel="0" collapsed="false">
      <c r="A35" s="5" t="s">
        <v>50</v>
      </c>
      <c r="B35" s="6" t="n">
        <v>6000</v>
      </c>
      <c r="C35" s="6" t="n">
        <v>15000</v>
      </c>
      <c r="D35" s="6" t="n">
        <v>30000</v>
      </c>
    </row>
    <row r="36" customFormat="false" ht="15" hidden="false" customHeight="true" outlineLevel="0" collapsed="false">
      <c r="A36" s="5" t="s">
        <v>51</v>
      </c>
      <c r="B36" s="6" t="n">
        <v>5000</v>
      </c>
      <c r="C36" s="6" t="n">
        <v>20000</v>
      </c>
      <c r="D36" s="6" t="n">
        <v>60000</v>
      </c>
    </row>
    <row r="37" customFormat="false" ht="15" hidden="false" customHeight="true" outlineLevel="0" collapsed="false">
      <c r="A37" s="5" t="s">
        <v>52</v>
      </c>
      <c r="B37" s="6" t="n">
        <v>3000</v>
      </c>
      <c r="C37" s="6" t="n">
        <v>8000</v>
      </c>
      <c r="D37" s="6" t="n">
        <v>20000</v>
      </c>
    </row>
    <row r="38" customFormat="false" ht="15" hidden="false" customHeight="true" outlineLevel="0" collapsed="false">
      <c r="A38" s="5" t="s">
        <v>53</v>
      </c>
      <c r="B38" s="6" t="n">
        <v>5000</v>
      </c>
      <c r="C38" s="6" t="n">
        <v>12000</v>
      </c>
      <c r="D38" s="6" t="n">
        <v>25000</v>
      </c>
    </row>
    <row r="39" customFormat="false" ht="15" hidden="false" customHeight="true" outlineLevel="0" collapsed="false">
      <c r="A39" s="9" t="s">
        <v>54</v>
      </c>
      <c r="B39" s="12" t="n">
        <f aca="false">SUM(B32:B38)</f>
        <v>57000</v>
      </c>
      <c r="C39" s="12" t="n">
        <f aca="false">SUM(C32:C38)</f>
        <v>197000</v>
      </c>
      <c r="D39" s="12" t="n">
        <f aca="false">SUM(D32:D38)</f>
        <v>615000</v>
      </c>
    </row>
    <row r="41" customFormat="false" ht="15" hidden="false" customHeight="true" outlineLevel="0" collapsed="false">
      <c r="A41" s="3" t="s">
        <v>55</v>
      </c>
      <c r="B41" s="3"/>
      <c r="C41" s="3"/>
      <c r="D41" s="3"/>
    </row>
    <row r="42" customFormat="false" ht="15" hidden="false" customHeight="true" outlineLevel="0" collapsed="false">
      <c r="A42" s="4" t="s">
        <v>43</v>
      </c>
      <c r="B42" s="4" t="s">
        <v>44</v>
      </c>
      <c r="C42" s="4" t="s">
        <v>45</v>
      </c>
      <c r="D42" s="4" t="s">
        <v>46</v>
      </c>
    </row>
    <row r="43" customFormat="false" ht="15" hidden="false" customHeight="true" outlineLevel="0" collapsed="false">
      <c r="A43" s="5" t="s">
        <v>56</v>
      </c>
      <c r="B43" s="6" t="n">
        <v>50000</v>
      </c>
      <c r="C43" s="6" t="n">
        <v>240000</v>
      </c>
      <c r="D43" s="6" t="n">
        <v>1620000</v>
      </c>
    </row>
    <row r="44" customFormat="false" ht="15" hidden="false" customHeight="true" outlineLevel="0" collapsed="false">
      <c r="A44" s="5" t="s">
        <v>57</v>
      </c>
      <c r="B44" s="6" t="n">
        <v>14000</v>
      </c>
      <c r="C44" s="6" t="n">
        <v>50000</v>
      </c>
      <c r="D44" s="6" t="n">
        <v>240000</v>
      </c>
    </row>
    <row r="45" customFormat="false" ht="15" hidden="false" customHeight="true" outlineLevel="0" collapsed="false">
      <c r="A45" s="9" t="s">
        <v>58</v>
      </c>
      <c r="B45" s="12" t="n">
        <f aca="false">SUM(B43:B44)</f>
        <v>64000</v>
      </c>
      <c r="C45" s="12" t="n">
        <f aca="false">SUM(C43:C44)</f>
        <v>290000</v>
      </c>
      <c r="D45" s="12" t="n">
        <f aca="false">SUM(D43:D44)</f>
        <v>1860000</v>
      </c>
    </row>
    <row r="47" customFormat="false" ht="15" hidden="false" customHeight="true" outlineLevel="0" collapsed="false">
      <c r="A47" s="3" t="s">
        <v>59</v>
      </c>
      <c r="B47" s="3"/>
      <c r="C47" s="3"/>
      <c r="D47" s="3"/>
    </row>
    <row r="48" customFormat="false" ht="15" hidden="false" customHeight="true" outlineLevel="0" collapsed="false">
      <c r="A48" s="4" t="s">
        <v>43</v>
      </c>
      <c r="B48" s="4" t="s">
        <v>44</v>
      </c>
      <c r="C48" s="4" t="s">
        <v>45</v>
      </c>
      <c r="D48" s="4" t="s">
        <v>46</v>
      </c>
    </row>
    <row r="49" customFormat="false" ht="15" hidden="false" customHeight="true" outlineLevel="0" collapsed="false">
      <c r="A49" s="5" t="s">
        <v>60</v>
      </c>
      <c r="B49" s="6" t="n">
        <v>8000</v>
      </c>
      <c r="C49" s="6" t="n">
        <v>25000</v>
      </c>
      <c r="D49" s="6" t="n">
        <v>80000</v>
      </c>
    </row>
    <row r="50" customFormat="false" ht="15" hidden="false" customHeight="true" outlineLevel="0" collapsed="false">
      <c r="A50" s="5" t="s">
        <v>61</v>
      </c>
      <c r="B50" s="6" t="n">
        <v>5000</v>
      </c>
      <c r="C50" s="6" t="n">
        <v>15000</v>
      </c>
      <c r="D50" s="6" t="n">
        <v>40000</v>
      </c>
    </row>
    <row r="51" customFormat="false" ht="15" hidden="false" customHeight="true" outlineLevel="0" collapsed="false">
      <c r="A51" s="5" t="s">
        <v>62</v>
      </c>
      <c r="B51" s="6" t="n">
        <v>0</v>
      </c>
      <c r="C51" s="6" t="n">
        <v>25000</v>
      </c>
      <c r="D51" s="6" t="n">
        <v>150000</v>
      </c>
    </row>
    <row r="52" customFormat="false" ht="15" hidden="false" customHeight="true" outlineLevel="0" collapsed="false">
      <c r="A52" s="5" t="s">
        <v>63</v>
      </c>
      <c r="B52" s="6" t="n">
        <v>2000</v>
      </c>
      <c r="C52" s="6" t="n">
        <v>5000</v>
      </c>
      <c r="D52" s="6" t="n">
        <v>8000</v>
      </c>
    </row>
    <row r="53" customFormat="false" ht="15" hidden="false" customHeight="true" outlineLevel="0" collapsed="false">
      <c r="A53" s="5" t="s">
        <v>64</v>
      </c>
      <c r="B53" s="6" t="n">
        <v>3000</v>
      </c>
      <c r="C53" s="6" t="n">
        <v>10000</v>
      </c>
      <c r="D53" s="6" t="n">
        <v>25000</v>
      </c>
    </row>
    <row r="54" customFormat="false" ht="15" hidden="false" customHeight="true" outlineLevel="0" collapsed="false">
      <c r="A54" s="5" t="s">
        <v>65</v>
      </c>
      <c r="B54" s="6" t="n">
        <v>5000</v>
      </c>
      <c r="C54" s="6" t="n">
        <v>15000</v>
      </c>
      <c r="D54" s="6" t="n">
        <v>30000</v>
      </c>
    </row>
    <row r="55" customFormat="false" ht="15" hidden="false" customHeight="true" outlineLevel="0" collapsed="false">
      <c r="A55" s="5" t="s">
        <v>66</v>
      </c>
      <c r="B55" s="6" t="n">
        <v>0</v>
      </c>
      <c r="C55" s="6" t="n">
        <v>12000</v>
      </c>
      <c r="D55" s="6" t="n">
        <v>50000</v>
      </c>
    </row>
    <row r="56" customFormat="false" ht="15" hidden="false" customHeight="true" outlineLevel="0" collapsed="false">
      <c r="A56" s="5" t="s">
        <v>67</v>
      </c>
      <c r="B56" s="6" t="n">
        <v>0</v>
      </c>
      <c r="C56" s="6" t="n">
        <v>7000</v>
      </c>
      <c r="D56" s="6" t="n">
        <v>25000</v>
      </c>
    </row>
    <row r="57" customFormat="false" ht="15" hidden="false" customHeight="true" outlineLevel="0" collapsed="false">
      <c r="A57" s="5" t="s">
        <v>68</v>
      </c>
      <c r="B57" s="6" t="n">
        <v>5000</v>
      </c>
      <c r="C57" s="6" t="n">
        <v>25000</v>
      </c>
      <c r="D57" s="6" t="n">
        <v>60000</v>
      </c>
    </row>
    <row r="58" customFormat="false" ht="15" hidden="false" customHeight="true" outlineLevel="0" collapsed="false">
      <c r="A58" s="5" t="s">
        <v>69</v>
      </c>
      <c r="B58" s="6" t="n">
        <v>0</v>
      </c>
      <c r="C58" s="6" t="n">
        <v>43000</v>
      </c>
      <c r="D58" s="6" t="n">
        <v>120000</v>
      </c>
    </row>
    <row r="59" customFormat="false" ht="15" hidden="false" customHeight="true" outlineLevel="0" collapsed="false">
      <c r="A59" s="5" t="s">
        <v>70</v>
      </c>
      <c r="B59" s="6" t="n">
        <v>10000</v>
      </c>
      <c r="C59" s="6" t="n">
        <v>100000</v>
      </c>
      <c r="D59" s="6" t="n">
        <v>600000</v>
      </c>
    </row>
    <row r="60" customFormat="false" ht="15" hidden="false" customHeight="true" outlineLevel="0" collapsed="false">
      <c r="A60" s="9" t="s">
        <v>71</v>
      </c>
      <c r="B60" s="13" t="n">
        <f aca="false">SUM(B49:B59)</f>
        <v>38000</v>
      </c>
      <c r="C60" s="13" t="n">
        <f aca="false">SUM(C49:C59)</f>
        <v>282000</v>
      </c>
      <c r="D60" s="13" t="n">
        <f aca="false">SUM(D49:D59)</f>
        <v>1188000</v>
      </c>
    </row>
    <row r="61" customFormat="false" ht="15" hidden="false" customHeight="true" outlineLevel="0" collapsed="false">
      <c r="A61" s="5" t="s">
        <v>72</v>
      </c>
      <c r="B61" s="14" t="n">
        <f aca="false">(B39+B45+B60)*0.05</f>
        <v>7950</v>
      </c>
      <c r="C61" s="14" t="n">
        <f aca="false">(C39+C45+C60)*0.05</f>
        <v>38450</v>
      </c>
      <c r="D61" s="14" t="n">
        <f aca="false">(D39+D45+D60)*0.05</f>
        <v>183150</v>
      </c>
    </row>
    <row r="62" customFormat="false" ht="15" hidden="false" customHeight="true" outlineLevel="0" collapsed="false">
      <c r="A62" s="9" t="s">
        <v>73</v>
      </c>
      <c r="B62" s="12" t="n">
        <f aca="false">B60+B61</f>
        <v>45950</v>
      </c>
      <c r="C62" s="12" t="n">
        <f aca="false">C60+C61</f>
        <v>320450</v>
      </c>
      <c r="D62" s="12" t="n">
        <f aca="false">D60+D61</f>
        <v>1371150</v>
      </c>
    </row>
    <row r="64" customFormat="false" ht="15" hidden="false" customHeight="true" outlineLevel="0" collapsed="false">
      <c r="A64" s="3" t="s">
        <v>74</v>
      </c>
      <c r="B64" s="3"/>
      <c r="C64" s="3"/>
      <c r="D64" s="3"/>
    </row>
    <row r="65" customFormat="false" ht="15" hidden="false" customHeight="true" outlineLevel="0" collapsed="false">
      <c r="A65" s="4" t="s">
        <v>3</v>
      </c>
      <c r="B65" s="4" t="s">
        <v>4</v>
      </c>
      <c r="C65" s="4" t="s">
        <v>5</v>
      </c>
      <c r="D65" s="4" t="s">
        <v>6</v>
      </c>
    </row>
    <row r="66" customFormat="false" ht="15" hidden="false" customHeight="true" outlineLevel="0" collapsed="false">
      <c r="A66" s="5" t="s">
        <v>75</v>
      </c>
      <c r="B66" s="8" t="n">
        <v>0.06</v>
      </c>
      <c r="C66" s="5" t="s">
        <v>16</v>
      </c>
      <c r="D66" s="7" t="s">
        <v>76</v>
      </c>
    </row>
    <row r="67" customFormat="false" ht="15" hidden="false" customHeight="true" outlineLevel="0" collapsed="false">
      <c r="A67" s="5" t="s">
        <v>77</v>
      </c>
      <c r="B67" s="15" t="n">
        <v>20000000</v>
      </c>
      <c r="C67" s="5" t="s">
        <v>78</v>
      </c>
      <c r="D67" s="7" t="s">
        <v>79</v>
      </c>
    </row>
    <row r="68" customFormat="false" ht="15" hidden="false" customHeight="true" outlineLevel="0" collapsed="false">
      <c r="A68" s="5" t="s">
        <v>80</v>
      </c>
      <c r="B68" s="8" t="n">
        <v>0.05</v>
      </c>
      <c r="C68" s="5" t="s">
        <v>16</v>
      </c>
      <c r="D68" s="7" t="s">
        <v>81</v>
      </c>
    </row>
    <row r="69" customFormat="false" ht="15" hidden="false" customHeight="true" outlineLevel="0" collapsed="false">
      <c r="A69" s="5" t="s">
        <v>82</v>
      </c>
      <c r="B69" s="6" t="n">
        <v>22000</v>
      </c>
      <c r="C69" s="5" t="s">
        <v>8</v>
      </c>
      <c r="D69" s="7" t="s">
        <v>83</v>
      </c>
    </row>
    <row r="71" customFormat="false" ht="15" hidden="false" customHeight="true" outlineLevel="0" collapsed="false">
      <c r="A71" s="3" t="s">
        <v>84</v>
      </c>
      <c r="B71" s="3"/>
      <c r="C71" s="3"/>
      <c r="D71" s="3"/>
    </row>
    <row r="72" customFormat="false" ht="15" hidden="false" customHeight="true" outlineLevel="0" collapsed="false">
      <c r="A72" s="5" t="s">
        <v>85</v>
      </c>
      <c r="B72" s="6" t="n">
        <v>1000000</v>
      </c>
      <c r="C72" s="5" t="s">
        <v>86</v>
      </c>
      <c r="D72" s="7" t="s">
        <v>87</v>
      </c>
    </row>
    <row r="75" customFormat="false" ht="15" hidden="false" customHeight="true" outlineLevel="0" collapsed="false">
      <c r="A75" s="4" t="s">
        <v>88</v>
      </c>
    </row>
    <row r="76" customFormat="false" ht="15" hidden="false" customHeight="true" outlineLevel="0" collapsed="false">
      <c r="A76" s="16" t="s">
        <v>89</v>
      </c>
      <c r="B76" s="16" t="s">
        <v>90</v>
      </c>
      <c r="C76" s="16" t="s">
        <v>91</v>
      </c>
      <c r="D76" s="16" t="s">
        <v>92</v>
      </c>
      <c r="E76" s="16" t="s">
        <v>93</v>
      </c>
      <c r="F76" s="16" t="s">
        <v>6</v>
      </c>
    </row>
    <row r="77" customFormat="false" ht="15" hidden="false" customHeight="true" outlineLevel="0" collapsed="false">
      <c r="A77" s="17" t="s">
        <v>94</v>
      </c>
      <c r="B77" s="17" t="n">
        <v>0</v>
      </c>
      <c r="C77" s="17" t="n">
        <v>30</v>
      </c>
      <c r="D77" s="17" t="s">
        <v>95</v>
      </c>
      <c r="E77" s="17" t="s">
        <v>96</v>
      </c>
      <c r="F77" s="17" t="s">
        <v>97</v>
      </c>
    </row>
    <row r="78" customFormat="false" ht="15" hidden="false" customHeight="true" outlineLevel="0" collapsed="false">
      <c r="A78" s="17" t="s">
        <v>98</v>
      </c>
      <c r="B78" s="18" t="n">
        <v>1490</v>
      </c>
      <c r="C78" s="18" t="n">
        <v>200</v>
      </c>
      <c r="D78" s="18" t="s">
        <v>99</v>
      </c>
      <c r="E78" s="17" t="s">
        <v>100</v>
      </c>
      <c r="F78" s="17" t="s">
        <v>101</v>
      </c>
    </row>
    <row r="79" customFormat="false" ht="15" hidden="false" customHeight="true" outlineLevel="0" collapsed="false">
      <c r="A79" s="17" t="s">
        <v>102</v>
      </c>
      <c r="B79" s="18" t="n">
        <v>2490</v>
      </c>
      <c r="C79" s="18" t="n">
        <v>500</v>
      </c>
      <c r="D79" s="18" t="s">
        <v>103</v>
      </c>
      <c r="E79" s="17" t="s">
        <v>104</v>
      </c>
      <c r="F79" s="17" t="s">
        <v>105</v>
      </c>
    </row>
    <row r="80" customFormat="false" ht="15" hidden="false" customHeight="true" outlineLevel="0" collapsed="false">
      <c r="A80" s="17" t="s">
        <v>106</v>
      </c>
      <c r="B80" s="18" t="n">
        <v>3990</v>
      </c>
      <c r="C80" s="18" t="n">
        <v>1500</v>
      </c>
      <c r="D80" s="18" t="s">
        <v>107</v>
      </c>
      <c r="E80" s="17" t="s">
        <v>108</v>
      </c>
      <c r="F80" s="17" t="s">
        <v>109</v>
      </c>
    </row>
    <row r="82" customFormat="false" ht="15" hidden="false" customHeight="true" outlineLevel="0" collapsed="false">
      <c r="A82" s="19" t="s">
        <v>110</v>
      </c>
    </row>
    <row r="83" customFormat="false" ht="15" hidden="false" customHeight="true" outlineLevel="0" collapsed="false">
      <c r="A83" s="0" t="s">
        <v>111</v>
      </c>
      <c r="B83" s="18" t="n">
        <v>9</v>
      </c>
      <c r="C83" s="0" t="s">
        <v>112</v>
      </c>
      <c r="D83" s="0" t="s">
        <v>113</v>
      </c>
    </row>
    <row r="84" customFormat="false" ht="15" hidden="false" customHeight="true" outlineLevel="0" collapsed="false">
      <c r="A84" s="0" t="s">
        <v>114</v>
      </c>
      <c r="B84" s="18" t="n">
        <v>1000</v>
      </c>
      <c r="C84" s="0" t="s">
        <v>115</v>
      </c>
      <c r="D84" s="0" t="s">
        <v>116</v>
      </c>
    </row>
    <row r="85" customFormat="false" ht="15" hidden="false" customHeight="true" outlineLevel="0" collapsed="false">
      <c r="A85" s="0" t="s">
        <v>117</v>
      </c>
      <c r="B85" s="0" t="s">
        <v>118</v>
      </c>
      <c r="D85" s="0" t="s">
        <v>119</v>
      </c>
    </row>
    <row r="87" customFormat="false" ht="15" hidden="false" customHeight="true" outlineLevel="0" collapsed="false">
      <c r="A87" s="4" t="s">
        <v>120</v>
      </c>
    </row>
    <row r="88" customFormat="false" ht="15" hidden="false" customHeight="true" outlineLevel="0" collapsed="false">
      <c r="A88" s="0" t="s">
        <v>121</v>
      </c>
      <c r="B88" s="18" t="n">
        <v>0.5</v>
      </c>
      <c r="C88" s="0" t="s">
        <v>122</v>
      </c>
      <c r="D88" s="0" t="s">
        <v>123</v>
      </c>
    </row>
    <row r="89" customFormat="false" ht="15" hidden="false" customHeight="true" outlineLevel="0" collapsed="false">
      <c r="A89" s="0" t="s">
        <v>124</v>
      </c>
      <c r="B89" s="18" t="n">
        <v>3</v>
      </c>
      <c r="C89" s="0" t="s">
        <v>122</v>
      </c>
      <c r="D89" s="0" t="s">
        <v>125</v>
      </c>
    </row>
    <row r="90" customFormat="false" ht="15" hidden="false" customHeight="true" outlineLevel="0" collapsed="false">
      <c r="A90" s="0" t="s">
        <v>126</v>
      </c>
      <c r="B90" s="18" t="n">
        <v>90</v>
      </c>
      <c r="C90" s="0" t="s">
        <v>127</v>
      </c>
      <c r="D90" s="0" t="s">
        <v>128</v>
      </c>
    </row>
    <row r="91" customFormat="false" ht="15" hidden="false" customHeight="true" outlineLevel="0" collapsed="false">
      <c r="A91" s="0" t="s">
        <v>129</v>
      </c>
      <c r="B91" s="18" t="n">
        <v>5000</v>
      </c>
      <c r="C91" s="0" t="s">
        <v>130</v>
      </c>
      <c r="D91" s="0" t="s">
        <v>131</v>
      </c>
    </row>
    <row r="92" customFormat="false" ht="15" hidden="false" customHeight="true" outlineLevel="0" collapsed="false">
      <c r="A92" s="0" t="s">
        <v>132</v>
      </c>
      <c r="B92" s="18" t="n">
        <v>1000</v>
      </c>
      <c r="C92" s="0" t="s">
        <v>130</v>
      </c>
      <c r="D92" s="0" t="s">
        <v>133</v>
      </c>
    </row>
    <row r="93" customFormat="false" ht="15" hidden="false" customHeight="true" outlineLevel="0" collapsed="false">
      <c r="A93" s="0" t="s">
        <v>134</v>
      </c>
      <c r="B93" s="20" t="n">
        <f aca="false">(B91*B88+B92*B89)*B90/1000000</f>
        <v>0.495</v>
      </c>
      <c r="C93" s="0" t="s">
        <v>112</v>
      </c>
      <c r="D93" s="0" t="s">
        <v>135</v>
      </c>
    </row>
    <row r="94" customFormat="false" ht="15" hidden="false" customHeight="true" outlineLevel="0" collapsed="false">
      <c r="A94" s="0" t="s">
        <v>136</v>
      </c>
      <c r="B94" s="21" t="n">
        <v>0.9</v>
      </c>
      <c r="C94" s="0" t="s">
        <v>137</v>
      </c>
      <c r="D94" s="0" t="s">
        <v>138</v>
      </c>
    </row>
    <row r="95" customFormat="false" ht="15" hidden="false" customHeight="true" outlineLevel="0" collapsed="false">
      <c r="A95" s="0" t="s">
        <v>139</v>
      </c>
      <c r="B95" s="20" t="n">
        <f aca="false">B93*(1-B94*0.7)</f>
        <v>0.18315</v>
      </c>
      <c r="C95" s="0" t="s">
        <v>112</v>
      </c>
      <c r="D95" s="0" t="s">
        <v>140</v>
      </c>
    </row>
    <row r="96" customFormat="false" ht="15" hidden="false" customHeight="true" outlineLevel="0" collapsed="false">
      <c r="A96" s="0" t="s">
        <v>141</v>
      </c>
      <c r="B96" s="22" t="n">
        <v>0.15</v>
      </c>
      <c r="C96" s="0" t="s">
        <v>112</v>
      </c>
      <c r="D96" s="0" t="s">
        <v>142</v>
      </c>
    </row>
    <row r="97" customFormat="false" ht="15" hidden="false" customHeight="true" outlineLevel="0" collapsed="false">
      <c r="A97" s="0" t="s">
        <v>143</v>
      </c>
      <c r="B97" s="23" t="n">
        <f aca="false">B95+B96</f>
        <v>0.33315</v>
      </c>
      <c r="C97" s="0" t="s">
        <v>112</v>
      </c>
      <c r="D97" s="0" t="s">
        <v>144</v>
      </c>
    </row>
    <row r="99" customFormat="false" ht="15" hidden="false" customHeight="true" outlineLevel="0" collapsed="false">
      <c r="A99" s="4" t="s">
        <v>145</v>
      </c>
    </row>
    <row r="100" customFormat="false" ht="15" hidden="false" customHeight="true" outlineLevel="0" collapsed="false">
      <c r="A100" s="19" t="s">
        <v>3</v>
      </c>
      <c r="B100" s="19" t="s">
        <v>4</v>
      </c>
      <c r="C100" s="19" t="s">
        <v>146</v>
      </c>
      <c r="D100" s="19" t="s">
        <v>6</v>
      </c>
    </row>
    <row r="101" customFormat="false" ht="15" hidden="false" customHeight="true" outlineLevel="0" collapsed="false">
      <c r="A101" s="0" t="s">
        <v>147</v>
      </c>
      <c r="B101" s="0" t="n">
        <v>0</v>
      </c>
      <c r="C101" s="0" t="s">
        <v>148</v>
      </c>
      <c r="D101" s="0" t="s">
        <v>149</v>
      </c>
    </row>
    <row r="102" customFormat="false" ht="15" hidden="false" customHeight="true" outlineLevel="0" collapsed="false">
      <c r="A102" s="0" t="s">
        <v>150</v>
      </c>
      <c r="B102" s="0" t="n">
        <v>0</v>
      </c>
      <c r="C102" s="0" t="s">
        <v>151</v>
      </c>
      <c r="D102" s="0" t="s">
        <v>152</v>
      </c>
    </row>
    <row r="103" customFormat="false" ht="15" hidden="false" customHeight="true" outlineLevel="0" collapsed="false">
      <c r="A103" s="0" t="s">
        <v>153</v>
      </c>
      <c r="B103" s="0" t="s">
        <v>154</v>
      </c>
      <c r="C103" s="0" t="s">
        <v>155</v>
      </c>
      <c r="D103" s="0" t="s">
        <v>156</v>
      </c>
    </row>
    <row r="104" customFormat="false" ht="15" hidden="false" customHeight="true" outlineLevel="0" collapsed="false">
      <c r="A104" s="0" t="s">
        <v>157</v>
      </c>
      <c r="B104" s="0" t="n">
        <v>0</v>
      </c>
      <c r="C104" s="0" t="s">
        <v>155</v>
      </c>
      <c r="D104" s="0" t="s">
        <v>158</v>
      </c>
    </row>
    <row r="105" customFormat="false" ht="15" hidden="false" customHeight="true" outlineLevel="0" collapsed="false">
      <c r="A105" s="0" t="s">
        <v>159</v>
      </c>
      <c r="B105" s="0" t="s">
        <v>160</v>
      </c>
      <c r="C105" s="0" t="s">
        <v>161</v>
      </c>
      <c r="D105" s="0" t="s">
        <v>162</v>
      </c>
    </row>
    <row r="106" customFormat="false" ht="15" hidden="false" customHeight="true" outlineLevel="0" collapsed="false">
      <c r="A106" s="0" t="s">
        <v>163</v>
      </c>
      <c r="B106" s="0" t="s">
        <v>164</v>
      </c>
      <c r="C106" s="0" t="s">
        <v>165</v>
      </c>
      <c r="D106" s="0" t="s">
        <v>166</v>
      </c>
    </row>
    <row r="107" customFormat="false" ht="15" hidden="false" customHeight="true" outlineLevel="0" collapsed="false">
      <c r="A107" s="0" t="s">
        <v>167</v>
      </c>
      <c r="B107" s="0" t="s">
        <v>168</v>
      </c>
      <c r="C107" s="0" t="s">
        <v>165</v>
      </c>
      <c r="D107" s="0" t="s">
        <v>169</v>
      </c>
    </row>
    <row r="108" customFormat="false" ht="15" hidden="false" customHeight="true" outlineLevel="0" collapsed="false">
      <c r="A108" s="0" t="s">
        <v>170</v>
      </c>
      <c r="B108" s="0" t="s">
        <v>171</v>
      </c>
      <c r="C108" s="0" t="s">
        <v>172</v>
      </c>
      <c r="D108" s="0" t="s">
        <v>173</v>
      </c>
    </row>
    <row r="109" customFormat="false" ht="15" hidden="false" customHeight="true" outlineLevel="0" collapsed="false">
      <c r="A109" s="0" t="s">
        <v>174</v>
      </c>
      <c r="B109" s="0" t="s">
        <v>175</v>
      </c>
      <c r="C109" s="0" t="s">
        <v>176</v>
      </c>
      <c r="D109" s="0" t="s">
        <v>177</v>
      </c>
    </row>
    <row r="112" customFormat="false" ht="15" hidden="false" customHeight="true" outlineLevel="0" collapsed="false">
      <c r="A112" s="4" t="s">
        <v>178</v>
      </c>
    </row>
    <row r="113" customFormat="false" ht="15" hidden="false" customHeight="true" outlineLevel="0" collapsed="false">
      <c r="A113" s="16" t="s">
        <v>179</v>
      </c>
      <c r="B113" s="16" t="s">
        <v>180</v>
      </c>
      <c r="C113" s="16" t="s">
        <v>181</v>
      </c>
      <c r="D113" s="16" t="s">
        <v>182</v>
      </c>
      <c r="E113" s="16" t="s">
        <v>183</v>
      </c>
      <c r="F113" s="16" t="s">
        <v>184</v>
      </c>
    </row>
    <row r="114" customFormat="false" ht="15" hidden="false" customHeight="true" outlineLevel="0" collapsed="false">
      <c r="A114" s="17" t="s">
        <v>185</v>
      </c>
      <c r="B114" s="18" t="n">
        <v>0</v>
      </c>
      <c r="C114" s="18" t="n">
        <v>30000</v>
      </c>
      <c r="D114" s="18" t="n">
        <v>200000</v>
      </c>
      <c r="E114" s="17" t="s">
        <v>186</v>
      </c>
      <c r="F114" s="24" t="s">
        <v>187</v>
      </c>
    </row>
    <row r="115" customFormat="false" ht="15" hidden="false" customHeight="true" outlineLevel="0" collapsed="false">
      <c r="A115" s="17" t="s">
        <v>188</v>
      </c>
      <c r="B115" s="18" t="n">
        <v>0</v>
      </c>
      <c r="C115" s="18" t="n">
        <v>20000</v>
      </c>
      <c r="D115" s="18" t="n">
        <v>150000</v>
      </c>
      <c r="E115" s="17" t="s">
        <v>189</v>
      </c>
      <c r="F115" s="24" t="s">
        <v>190</v>
      </c>
    </row>
    <row r="116" customFormat="false" ht="15" hidden="false" customHeight="true" outlineLevel="0" collapsed="false">
      <c r="A116" s="17" t="s">
        <v>191</v>
      </c>
      <c r="B116" s="18" t="n">
        <v>5000</v>
      </c>
      <c r="C116" s="18" t="n">
        <v>20000</v>
      </c>
      <c r="D116" s="18" t="n">
        <v>100000</v>
      </c>
      <c r="E116" s="17" t="s">
        <v>192</v>
      </c>
      <c r="F116" s="24" t="s">
        <v>193</v>
      </c>
    </row>
    <row r="117" customFormat="false" ht="15" hidden="false" customHeight="true" outlineLevel="0" collapsed="false">
      <c r="A117" s="17" t="s">
        <v>194</v>
      </c>
      <c r="B117" s="18" t="n">
        <v>2000</v>
      </c>
      <c r="C117" s="18" t="n">
        <v>10000</v>
      </c>
      <c r="D117" s="18" t="n">
        <v>50000</v>
      </c>
      <c r="E117" s="17" t="s">
        <v>195</v>
      </c>
      <c r="F117" s="24" t="s">
        <v>196</v>
      </c>
    </row>
    <row r="118" customFormat="false" ht="15" hidden="false" customHeight="true" outlineLevel="0" collapsed="false">
      <c r="A118" s="17" t="s">
        <v>197</v>
      </c>
      <c r="B118" s="18" t="n">
        <v>3000</v>
      </c>
      <c r="C118" s="18" t="n">
        <v>10000</v>
      </c>
      <c r="D118" s="18" t="n">
        <v>50000</v>
      </c>
      <c r="E118" s="17" t="s">
        <v>195</v>
      </c>
      <c r="F118" s="24" t="s">
        <v>198</v>
      </c>
    </row>
    <row r="119" customFormat="false" ht="15" hidden="false" customHeight="true" outlineLevel="0" collapsed="false">
      <c r="A119" s="17" t="s">
        <v>199</v>
      </c>
      <c r="B119" s="18" t="n">
        <v>0</v>
      </c>
      <c r="C119" s="18" t="n">
        <v>10000</v>
      </c>
      <c r="D119" s="18" t="n">
        <v>50000</v>
      </c>
      <c r="E119" s="17" t="s">
        <v>195</v>
      </c>
      <c r="F119" s="24" t="s">
        <v>200</v>
      </c>
    </row>
    <row r="120" customFormat="false" ht="15" hidden="false" customHeight="true" outlineLevel="0" collapsed="false">
      <c r="A120" s="19" t="s">
        <v>201</v>
      </c>
      <c r="B120" s="19" t="n">
        <f aca="false">SUM(B114:B119)</f>
        <v>10000</v>
      </c>
      <c r="C120" s="19" t="n">
        <f aca="false">SUM(C114:C119)</f>
        <v>100000</v>
      </c>
      <c r="D120" s="19" t="n">
        <f aca="false">SUM(D114:D119)</f>
        <v>600000</v>
      </c>
      <c r="E120" s="19" t="s">
        <v>202</v>
      </c>
      <c r="F120" s="0" t="s">
        <v>203</v>
      </c>
    </row>
    <row r="122" customFormat="false" ht="15" hidden="false" customHeight="true" outlineLevel="0" collapsed="false">
      <c r="A122" s="25" t="s">
        <v>204</v>
      </c>
    </row>
    <row r="124" customFormat="false" ht="15" hidden="false" customHeight="true" outlineLevel="0" collapsed="false">
      <c r="A124" s="0" t="s">
        <v>205</v>
      </c>
      <c r="B124" s="0" t="s">
        <v>206</v>
      </c>
      <c r="C124" s="0" t="s">
        <v>207</v>
      </c>
      <c r="D124" s="0" t="s">
        <v>208</v>
      </c>
      <c r="E124" s="0" t="s">
        <v>209</v>
      </c>
    </row>
    <row r="125" customFormat="false" ht="15" hidden="false" customHeight="true" outlineLevel="0" collapsed="false">
      <c r="A125" s="0" t="s">
        <v>210</v>
      </c>
      <c r="B125" s="0" t="s">
        <v>211</v>
      </c>
      <c r="C125" s="0" t="s">
        <v>212</v>
      </c>
      <c r="D125" s="0" t="s">
        <v>212</v>
      </c>
      <c r="E125" s="0" t="s">
        <v>213</v>
      </c>
    </row>
    <row r="126" customFormat="false" ht="15" hidden="false" customHeight="true" outlineLevel="0" collapsed="false">
      <c r="A126" s="0" t="s">
        <v>214</v>
      </c>
      <c r="B126" s="0" t="s">
        <v>215</v>
      </c>
      <c r="C126" s="0" t="s">
        <v>216</v>
      </c>
      <c r="D126" s="0" t="s">
        <v>217</v>
      </c>
      <c r="E126" s="0" t="s">
        <v>218</v>
      </c>
    </row>
    <row r="128" customFormat="false" ht="15" hidden="false" customHeight="true" outlineLevel="0" collapsed="false">
      <c r="A128" s="25" t="s">
        <v>219</v>
      </c>
    </row>
    <row r="129" customFormat="false" ht="15" hidden="false" customHeight="true" outlineLevel="0" collapsed="false">
      <c r="A129" s="0" t="s">
        <v>220</v>
      </c>
      <c r="B129" s="19" t="s">
        <v>221</v>
      </c>
      <c r="F129" s="0" t="s">
        <v>222</v>
      </c>
    </row>
    <row r="130" customFormat="false" ht="15" hidden="false" customHeight="true" outlineLevel="0" collapsed="false">
      <c r="A130" s="0" t="s">
        <v>223</v>
      </c>
      <c r="B130" s="19" t="s">
        <v>224</v>
      </c>
      <c r="F130" s="0" t="s">
        <v>225</v>
      </c>
    </row>
    <row r="131" customFormat="false" ht="15" hidden="false" customHeight="true" outlineLevel="0" collapsed="false">
      <c r="A131" s="0" t="s">
        <v>226</v>
      </c>
      <c r="B131" s="19" t="s">
        <v>227</v>
      </c>
      <c r="F131" s="0" t="s">
        <v>228</v>
      </c>
    </row>
    <row r="132" customFormat="false" ht="15" hidden="false" customHeight="true" outlineLevel="0" collapsed="false">
      <c r="A132" s="0" t="s">
        <v>229</v>
      </c>
      <c r="B132" s="19" t="s">
        <v>230</v>
      </c>
      <c r="F132" s="0" t="s">
        <v>231</v>
      </c>
    </row>
    <row r="133" customFormat="false" ht="15" hidden="false" customHeight="true" outlineLevel="0" collapsed="false">
      <c r="A133" s="0" t="s">
        <v>232</v>
      </c>
      <c r="B133" s="19" t="s">
        <v>233</v>
      </c>
      <c r="F133" s="0" t="s">
        <v>234</v>
      </c>
    </row>
    <row r="134" customFormat="false" ht="15" hidden="false" customHeight="true" outlineLevel="0" collapsed="false">
      <c r="A134" s="0" t="s">
        <v>235</v>
      </c>
      <c r="B134" s="19" t="s">
        <v>236</v>
      </c>
      <c r="F134" s="0" t="s">
        <v>237</v>
      </c>
    </row>
    <row r="135" customFormat="false" ht="15" hidden="false" customHeight="true" outlineLevel="0" collapsed="false">
      <c r="A135" s="0" t="s">
        <v>238</v>
      </c>
      <c r="B135" s="19" t="s">
        <v>239</v>
      </c>
      <c r="F135" s="0" t="s">
        <v>240</v>
      </c>
    </row>
    <row r="136" customFormat="false" ht="15" hidden="false" customHeight="true" outlineLevel="0" collapsed="false">
      <c r="A136" s="0" t="s">
        <v>241</v>
      </c>
      <c r="B136" s="19" t="s">
        <v>242</v>
      </c>
      <c r="F136" s="0" t="s">
        <v>243</v>
      </c>
    </row>
    <row r="139" customFormat="false" ht="14.25" hidden="false" customHeight="false" outlineLevel="0" collapsed="false">
      <c r="A139" s="26" t="s">
        <v>244</v>
      </c>
    </row>
    <row r="140" customFormat="false" ht="14.25" hidden="false" customHeight="false" outlineLevel="0" collapsed="false">
      <c r="A140" s="19" t="s">
        <v>245</v>
      </c>
    </row>
    <row r="141" customFormat="false" ht="14.25" hidden="false" customHeight="false" outlineLevel="0" collapsed="false">
      <c r="A141" s="0" t="s">
        <v>246</v>
      </c>
      <c r="B141" s="27" t="n">
        <v>27093</v>
      </c>
      <c r="C141" s="0" t="s">
        <v>8</v>
      </c>
      <c r="D141" s="0" t="s">
        <v>247</v>
      </c>
    </row>
    <row r="142" customFormat="false" ht="14.25" hidden="false" customHeight="false" outlineLevel="0" collapsed="false">
      <c r="A142" s="0" t="s">
        <v>248</v>
      </c>
      <c r="B142" s="17" t="n">
        <f aca="false">B141*1.5</f>
        <v>40639.5</v>
      </c>
      <c r="C142" s="0" t="s">
        <v>8</v>
      </c>
      <c r="D142" s="0" t="s">
        <v>249</v>
      </c>
    </row>
    <row r="143" customFormat="false" ht="14.25" hidden="false" customHeight="false" outlineLevel="0" collapsed="false">
      <c r="A143" s="0" t="s">
        <v>250</v>
      </c>
      <c r="B143" s="27" t="n">
        <v>2979000</v>
      </c>
      <c r="C143" s="0" t="s">
        <v>78</v>
      </c>
      <c r="D143" s="0" t="s">
        <v>251</v>
      </c>
    </row>
    <row r="144" customFormat="false" ht="14.25" hidden="false" customHeight="false" outlineLevel="0" collapsed="false">
      <c r="A144" s="0" t="s">
        <v>252</v>
      </c>
      <c r="B144" s="17" t="n">
        <f aca="false">B143/12</f>
        <v>248250</v>
      </c>
      <c r="C144" s="0" t="s">
        <v>8</v>
      </c>
      <c r="D144" s="0" t="s">
        <v>253</v>
      </c>
    </row>
    <row r="145" customFormat="false" ht="14.25" hidden="false" customHeight="false" outlineLevel="0" collapsed="false">
      <c r="A145" s="0" t="s">
        <v>254</v>
      </c>
      <c r="B145" s="27" t="n">
        <v>107949</v>
      </c>
      <c r="C145" s="0" t="s">
        <v>8</v>
      </c>
      <c r="D145" s="0" t="s">
        <v>255</v>
      </c>
    </row>
    <row r="147" customFormat="false" ht="14.25" hidden="false" customHeight="false" outlineLevel="0" collapsed="false">
      <c r="A147" s="16" t="s">
        <v>3</v>
      </c>
      <c r="B147" s="16" t="s">
        <v>148</v>
      </c>
      <c r="C147" s="16" t="s">
        <v>151</v>
      </c>
      <c r="D147" s="16" t="s">
        <v>155</v>
      </c>
      <c r="E147" s="16" t="s">
        <v>256</v>
      </c>
    </row>
    <row r="148" customFormat="false" ht="14.25" hidden="false" customHeight="false" outlineLevel="0" collapsed="false">
      <c r="A148" s="0" t="s">
        <v>257</v>
      </c>
      <c r="B148" s="27" t="n">
        <v>2</v>
      </c>
      <c r="C148" s="27" t="n">
        <v>5</v>
      </c>
      <c r="D148" s="27" t="n">
        <v>10</v>
      </c>
      <c r="E148" s="0" t="s">
        <v>258</v>
      </c>
    </row>
    <row r="149" customFormat="false" ht="14.25" hidden="false" customHeight="false" outlineLevel="0" collapsed="false">
      <c r="A149" s="0" t="s">
        <v>259</v>
      </c>
      <c r="B149" s="28" t="n">
        <f aca="false">B43</f>
        <v>50000</v>
      </c>
      <c r="C149" s="28" t="n">
        <f aca="false">C43</f>
        <v>240000</v>
      </c>
      <c r="D149" s="28" t="n">
        <f aca="false">D43</f>
        <v>1620000</v>
      </c>
      <c r="E149" s="0" t="s">
        <v>260</v>
      </c>
    </row>
    <row r="150" customFormat="false" ht="14.25" hidden="false" customHeight="false" outlineLevel="0" collapsed="false">
      <c r="A150" s="0" t="s">
        <v>261</v>
      </c>
      <c r="B150" s="29" t="n">
        <f aca="false">B149/B148</f>
        <v>25000</v>
      </c>
      <c r="C150" s="29" t="n">
        <f aca="false">C149/C148</f>
        <v>48000</v>
      </c>
      <c r="D150" s="29" t="n">
        <f aca="false">D149/D148</f>
        <v>162000</v>
      </c>
      <c r="E150" s="0" t="s">
        <v>262</v>
      </c>
    </row>
    <row r="151" customFormat="false" ht="14.25" hidden="false" customHeight="false" outlineLevel="0" collapsed="false">
      <c r="A151" s="0" t="s">
        <v>263</v>
      </c>
      <c r="B151" s="0" t="str">
        <f aca="false">IF(B150&gt;=$B$145,"ДА (РФ)",IF(B150&gt;=$B$145*0.5,"возможно (регион)","НЕТ"))</f>
        <v>НЕТ</v>
      </c>
      <c r="C151" s="0" t="str">
        <f aca="false">IF(C150&gt;=$B$145,"ДА (РФ)",IF(C150&gt;=$B$145*0.5,"возможно (регион)","НЕТ"))</f>
        <v>НЕТ</v>
      </c>
      <c r="D151" s="0" t="str">
        <f aca="false">IF(D150&gt;=$B$145,"ДА (РФ)",IF(D150&gt;=$B$145*0.5,"возможно (регион)","НЕТ"))</f>
        <v>ДА (РФ)</v>
      </c>
      <c r="E151" s="0" t="s">
        <v>264</v>
      </c>
    </row>
    <row r="152" customFormat="false" ht="14.25" hidden="false" customHeight="false" outlineLevel="0" collapsed="false">
      <c r="A152" s="0" t="s">
        <v>265</v>
      </c>
      <c r="B152" s="30" t="n">
        <f aca="false">(MIN(B150,$B$142)*0.3+MAX(0,B150-$B$142)*0.15)*B148*12</f>
        <v>180000</v>
      </c>
      <c r="C152" s="30" t="n">
        <f aca="false">(MIN(C150,$B$142)*0.3+MAX(0,C150-$B$142)*0.15)*C148*12</f>
        <v>797755.5</v>
      </c>
      <c r="D152" s="30" t="n">
        <f aca="false">(MIN(D150,$B$142)*0.3+MAX(0,D150-$B$142)*0.15)*D148*12</f>
        <v>3647511</v>
      </c>
      <c r="E152" s="0" t="s">
        <v>266</v>
      </c>
    </row>
    <row r="153" customFormat="false" ht="14.25" hidden="false" customHeight="false" outlineLevel="0" collapsed="false">
      <c r="A153" s="0" t="s">
        <v>267</v>
      </c>
      <c r="B153" s="30" t="n">
        <f aca="false">(MIN(B150,$B$144)*0.15+MAX(0,B150-$B$144)*0.076)*B148*12</f>
        <v>90000</v>
      </c>
      <c r="C153" s="30" t="n">
        <f aca="false">(MIN(C150,$B$144)*0.15+MAX(0,C150-$B$144)*0.076)*C148*12</f>
        <v>432000</v>
      </c>
      <c r="D153" s="30" t="n">
        <f aca="false">(MIN(D150,$B$144)*0.15+MAX(0,D150-$B$144)*0.076)*D148*12</f>
        <v>2916000</v>
      </c>
      <c r="E153" s="0" t="s">
        <v>268</v>
      </c>
    </row>
    <row r="154" customFormat="false" ht="14.25" hidden="false" customHeight="false" outlineLevel="0" collapsed="false">
      <c r="A154" s="19" t="s">
        <v>269</v>
      </c>
      <c r="B154" s="31" t="n">
        <f aca="false">B152-B153</f>
        <v>90000</v>
      </c>
      <c r="C154" s="31" t="n">
        <f aca="false">C152-C153</f>
        <v>365755.5</v>
      </c>
      <c r="D154" s="31" t="n">
        <f aca="false">D152-D153</f>
        <v>731511</v>
      </c>
      <c r="E154" s="0" t="s">
        <v>270</v>
      </c>
    </row>
    <row r="156" customFormat="false" ht="14.25" hidden="false" customHeight="false" outlineLevel="0" collapsed="false">
      <c r="A156" s="19" t="s">
        <v>271</v>
      </c>
      <c r="B156" s="0" t="s">
        <v>272</v>
      </c>
    </row>
    <row r="157" customFormat="false" ht="14.25" hidden="false" customHeight="false" outlineLevel="0" collapsed="false">
      <c r="B157" s="0" t="s">
        <v>273</v>
      </c>
    </row>
    <row r="158" customFormat="false" ht="14.25" hidden="false" customHeight="false" outlineLevel="0" collapsed="false">
      <c r="B158" s="0" t="s">
        <v>274</v>
      </c>
    </row>
  </sheetData>
  <mergeCells count="10">
    <mergeCell ref="A1:D1"/>
    <mergeCell ref="A2:D2"/>
    <mergeCell ref="A4:D4"/>
    <mergeCell ref="A15:D15"/>
    <mergeCell ref="A24:D24"/>
    <mergeCell ref="A30:D30"/>
    <mergeCell ref="A41:D41"/>
    <mergeCell ref="A47:D47"/>
    <mergeCell ref="A64:D64"/>
    <mergeCell ref="A71:D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F16" activePane="bottomRight" state="frozen"/>
      <selection pane="topLeft" activeCell="A1" activeCellId="0" sqref="A1"/>
      <selection pane="topRight" activeCell="F1" activeCellId="0" sqref="F1"/>
      <selection pane="bottomLeft" activeCell="A16" activeCellId="0" sqref="A16"/>
      <selection pane="bottomRight" activeCell="F7" activeCellId="0" sqref="F7"/>
    </sheetView>
  </sheetViews>
  <sheetFormatPr defaultColWidth="8.6875" defaultRowHeight="14.25" zeroHeight="false" outlineLevelRow="0" outlineLevelCol="0"/>
  <cols>
    <col collapsed="false" customWidth="true" hidden="false" outlineLevel="0" max="1" min="1" style="0" width="30"/>
    <col collapsed="false" customWidth="true" hidden="false" outlineLevel="0" max="22" min="2" style="0" width="13"/>
    <col collapsed="false" customWidth="true" hidden="false" outlineLevel="0" max="23" min="23" style="0" width="16.47"/>
    <col collapsed="false" customWidth="true" hidden="false" outlineLevel="0" max="24" min="24" style="0" width="15.95"/>
    <col collapsed="false" customWidth="true" hidden="false" outlineLevel="0" max="25" min="25" style="0" width="15.63"/>
    <col collapsed="false" customWidth="true" hidden="false" outlineLevel="0" max="26" min="26" style="0" width="16.05"/>
    <col collapsed="false" customWidth="true" hidden="false" outlineLevel="0" max="27" min="27" style="0" width="15.2"/>
    <col collapsed="false" customWidth="true" hidden="false" outlineLevel="0" max="28" min="28" style="0" width="16"/>
    <col collapsed="false" customWidth="true" hidden="false" outlineLevel="0" max="29" min="29" style="0" width="15.63"/>
    <col collapsed="false" customWidth="true" hidden="false" outlineLevel="0" max="30" min="30" style="0" width="15.79"/>
    <col collapsed="false" customWidth="true" hidden="false" outlineLevel="0" max="31" min="31" style="0" width="16.21"/>
    <col collapsed="false" customWidth="true" hidden="false" outlineLevel="0" max="32" min="32" style="0" width="15.74"/>
    <col collapsed="false" customWidth="true" hidden="false" outlineLevel="0" max="33" min="33" style="0" width="17.37"/>
    <col collapsed="false" customWidth="true" hidden="false" outlineLevel="0" max="34" min="34" style="0" width="16.37"/>
    <col collapsed="false" customWidth="true" hidden="false" outlineLevel="0" max="35" min="35" style="0" width="17.47"/>
    <col collapsed="false" customWidth="true" hidden="false" outlineLevel="0" max="36" min="36" style="0" width="17.74"/>
    <col collapsed="false" customWidth="true" hidden="false" outlineLevel="0" max="37" min="37" style="0" width="16.47"/>
  </cols>
  <sheetData>
    <row r="1" customFormat="false" ht="27.75" hidden="false" customHeight="true" outlineLevel="0" collapsed="false">
      <c r="A1" s="1" t="s">
        <v>275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5" hidden="false" customHeight="true" outlineLevel="0" collapsed="false">
      <c r="A2" s="4" t="s">
        <v>276</v>
      </c>
      <c r="B2" s="32" t="s">
        <v>277</v>
      </c>
      <c r="C2" s="32" t="s">
        <v>278</v>
      </c>
      <c r="D2" s="32" t="s">
        <v>279</v>
      </c>
      <c r="E2" s="32" t="s">
        <v>280</v>
      </c>
      <c r="F2" s="32" t="s">
        <v>281</v>
      </c>
      <c r="G2" s="32" t="s">
        <v>282</v>
      </c>
      <c r="H2" s="32" t="s">
        <v>283</v>
      </c>
      <c r="I2" s="32" t="s">
        <v>284</v>
      </c>
      <c r="J2" s="32" t="s">
        <v>285</v>
      </c>
      <c r="K2" s="32" t="s">
        <v>286</v>
      </c>
      <c r="L2" s="32" t="s">
        <v>287</v>
      </c>
      <c r="M2" s="32" t="s">
        <v>288</v>
      </c>
      <c r="N2" s="32" t="s">
        <v>289</v>
      </c>
      <c r="O2" s="32" t="s">
        <v>290</v>
      </c>
      <c r="P2" s="32" t="s">
        <v>291</v>
      </c>
      <c r="Q2" s="32" t="s">
        <v>292</v>
      </c>
      <c r="R2" s="32" t="s">
        <v>293</v>
      </c>
      <c r="S2" s="32" t="s">
        <v>294</v>
      </c>
      <c r="T2" s="32" t="s">
        <v>295</v>
      </c>
      <c r="U2" s="32" t="s">
        <v>296</v>
      </c>
      <c r="V2" s="32" t="s">
        <v>297</v>
      </c>
      <c r="W2" s="32" t="s">
        <v>298</v>
      </c>
      <c r="X2" s="32" t="s">
        <v>299</v>
      </c>
      <c r="Y2" s="32" t="s">
        <v>300</v>
      </c>
      <c r="Z2" s="32" t="s">
        <v>301</v>
      </c>
      <c r="AA2" s="32" t="s">
        <v>302</v>
      </c>
      <c r="AB2" s="32" t="s">
        <v>303</v>
      </c>
      <c r="AC2" s="32" t="s">
        <v>304</v>
      </c>
      <c r="AD2" s="32" t="s">
        <v>305</v>
      </c>
      <c r="AE2" s="32" t="s">
        <v>306</v>
      </c>
      <c r="AF2" s="32" t="s">
        <v>307</v>
      </c>
      <c r="AG2" s="32" t="s">
        <v>308</v>
      </c>
      <c r="AH2" s="32" t="s">
        <v>309</v>
      </c>
      <c r="AI2" s="32" t="s">
        <v>310</v>
      </c>
      <c r="AJ2" s="32" t="s">
        <v>311</v>
      </c>
      <c r="AK2" s="32" t="s">
        <v>312</v>
      </c>
    </row>
    <row r="3" customFormat="false" ht="15" hidden="false" customHeight="true" outlineLevel="0" collapsed="false">
      <c r="A3" s="4" t="s">
        <v>313</v>
      </c>
      <c r="B3" s="33" t="s">
        <v>148</v>
      </c>
      <c r="C3" s="33" t="s">
        <v>148</v>
      </c>
      <c r="D3" s="33" t="s">
        <v>148</v>
      </c>
      <c r="E3" s="33" t="s">
        <v>148</v>
      </c>
      <c r="F3" s="33" t="s">
        <v>148</v>
      </c>
      <c r="G3" s="33" t="s">
        <v>148</v>
      </c>
      <c r="H3" s="33" t="s">
        <v>148</v>
      </c>
      <c r="I3" s="33" t="s">
        <v>148</v>
      </c>
      <c r="J3" s="33" t="s">
        <v>148</v>
      </c>
      <c r="K3" s="33" t="s">
        <v>148</v>
      </c>
      <c r="L3" s="33" t="s">
        <v>148</v>
      </c>
      <c r="M3" s="33" t="s">
        <v>148</v>
      </c>
      <c r="N3" s="33" t="s">
        <v>151</v>
      </c>
      <c r="O3" s="33" t="s">
        <v>151</v>
      </c>
      <c r="P3" s="33" t="s">
        <v>151</v>
      </c>
      <c r="Q3" s="33" t="s">
        <v>151</v>
      </c>
      <c r="R3" s="33" t="s">
        <v>151</v>
      </c>
      <c r="S3" s="33" t="s">
        <v>151</v>
      </c>
      <c r="T3" s="33" t="s">
        <v>151</v>
      </c>
      <c r="U3" s="33" t="s">
        <v>151</v>
      </c>
      <c r="V3" s="33" t="s">
        <v>151</v>
      </c>
      <c r="W3" s="33" t="s">
        <v>151</v>
      </c>
      <c r="X3" s="33" t="s">
        <v>151</v>
      </c>
      <c r="Y3" s="33" t="s">
        <v>151</v>
      </c>
      <c r="Z3" s="33" t="s">
        <v>155</v>
      </c>
      <c r="AA3" s="33" t="s">
        <v>155</v>
      </c>
      <c r="AB3" s="33" t="s">
        <v>155</v>
      </c>
      <c r="AC3" s="33" t="s">
        <v>155</v>
      </c>
      <c r="AD3" s="33" t="s">
        <v>155</v>
      </c>
      <c r="AE3" s="33" t="s">
        <v>155</v>
      </c>
      <c r="AF3" s="33" t="s">
        <v>155</v>
      </c>
      <c r="AG3" s="33" t="s">
        <v>155</v>
      </c>
      <c r="AH3" s="33" t="s">
        <v>155</v>
      </c>
      <c r="AI3" s="33" t="s">
        <v>155</v>
      </c>
      <c r="AJ3" s="33" t="s">
        <v>155</v>
      </c>
      <c r="AK3" s="33" t="s">
        <v>155</v>
      </c>
    </row>
    <row r="5" customFormat="false" ht="15" hidden="false" customHeight="true" outlineLevel="0" collapsed="false">
      <c r="A5" s="34" t="s">
        <v>314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</row>
    <row r="6" customFormat="false" ht="15" hidden="false" customHeight="true" outlineLevel="0" collapsed="false">
      <c r="A6" s="9" t="s">
        <v>315</v>
      </c>
      <c r="B6" s="35" t="n">
        <f aca="false">ROUND(Assumptions!$B$17*1/3,0)</f>
        <v>7</v>
      </c>
      <c r="C6" s="35" t="n">
        <f aca="false">ROUND(Assumptions!$B$17*2/3,0)</f>
        <v>13</v>
      </c>
      <c r="D6" s="35" t="n">
        <f aca="false">ROUND(Assumptions!$B$17*3/3,0)</f>
        <v>20</v>
      </c>
      <c r="E6" s="35" t="n">
        <f aca="false">ROUND(Assumptions!$B$17+(Assumptions!$B$18-Assumptions!$B$17)*(4-3)/6,0)</f>
        <v>33</v>
      </c>
      <c r="F6" s="35" t="n">
        <f aca="false">ROUND(Assumptions!$B$17+(Assumptions!$B$18-Assumptions!$B$17)*(5-3)/6,0)</f>
        <v>47</v>
      </c>
      <c r="G6" s="35" t="n">
        <f aca="false">ROUND(Assumptions!$B$17+(Assumptions!$B$18-Assumptions!$B$17)*(6-3)/6,0)</f>
        <v>60</v>
      </c>
      <c r="H6" s="35" t="n">
        <f aca="false">ROUND(Assumptions!$B$17+(Assumptions!$B$18-Assumptions!$B$17)*(7-3)/6,0)</f>
        <v>73</v>
      </c>
      <c r="I6" s="35" t="n">
        <f aca="false">ROUND(Assumptions!$B$17+(Assumptions!$B$18-Assumptions!$B$17)*(8-3)/6,0)</f>
        <v>87</v>
      </c>
      <c r="J6" s="35" t="n">
        <f aca="false">ROUND(Assumptions!$B$17+(Assumptions!$B$18-Assumptions!$B$17)*(9-3)/6,0)</f>
        <v>100</v>
      </c>
      <c r="K6" s="35" t="n">
        <f aca="false">ROUND(Assumptions!$B$18+(Assumptions!$B$19-Assumptions!$B$18)*(10-9)/3,0)</f>
        <v>200</v>
      </c>
      <c r="L6" s="35" t="n">
        <f aca="false">ROUND(Assumptions!$B$18+(Assumptions!$B$19-Assumptions!$B$18)*(11-9)/3,0)</f>
        <v>300</v>
      </c>
      <c r="M6" s="35" t="n">
        <f aca="false">ROUND(Assumptions!$B$18+(Assumptions!$B$19-Assumptions!$B$18)*(12-9)/3,0)</f>
        <v>400</v>
      </c>
      <c r="N6" s="35" t="n">
        <f aca="false">ROUND(Assumptions!$B$19+(Assumptions!$B$20-Assumptions!$B$19)*(13-12)/12,0)</f>
        <v>575</v>
      </c>
      <c r="O6" s="35" t="n">
        <f aca="false">ROUND(Assumptions!$B$19+(Assumptions!$B$20-Assumptions!$B$19)*(14-12)/12,0)</f>
        <v>750</v>
      </c>
      <c r="P6" s="35" t="n">
        <f aca="false">ROUND(Assumptions!$B$19+(Assumptions!$B$20-Assumptions!$B$19)*(15-12)/12,0)</f>
        <v>925</v>
      </c>
      <c r="Q6" s="35" t="n">
        <f aca="false">ROUND(Assumptions!$B$19+(Assumptions!$B$20-Assumptions!$B$19)*(16-12)/12,0)</f>
        <v>1100</v>
      </c>
      <c r="R6" s="35" t="n">
        <f aca="false">ROUND(Assumptions!$B$19+(Assumptions!$B$20-Assumptions!$B$19)*(17-12)/12,0)</f>
        <v>1275</v>
      </c>
      <c r="S6" s="35" t="n">
        <f aca="false">ROUND(Assumptions!$B$19+(Assumptions!$B$20-Assumptions!$B$19)*(18-12)/12,0)</f>
        <v>1450</v>
      </c>
      <c r="T6" s="35" t="n">
        <f aca="false">ROUND(Assumptions!$B$19+(Assumptions!$B$20-Assumptions!$B$19)*(19-12)/12,0)</f>
        <v>1625</v>
      </c>
      <c r="U6" s="35" t="n">
        <f aca="false">ROUND(Assumptions!$B$19+(Assumptions!$B$20-Assumptions!$B$19)*(20-12)/12,0)</f>
        <v>1800</v>
      </c>
      <c r="V6" s="35" t="n">
        <f aca="false">ROUND(Assumptions!$B$19+(Assumptions!$B$20-Assumptions!$B$19)*(21-12)/12,0)</f>
        <v>1975</v>
      </c>
      <c r="W6" s="35" t="n">
        <f aca="false">ROUND(Assumptions!$B$19+(Assumptions!$B$20-Assumptions!$B$19)*(22-12)/12,0)</f>
        <v>2150</v>
      </c>
      <c r="X6" s="35" t="n">
        <f aca="false">ROUND(Assumptions!$B$19+(Assumptions!$B$20-Assumptions!$B$19)*(23-12)/12,0)</f>
        <v>2325</v>
      </c>
      <c r="Y6" s="35" t="n">
        <f aca="false">ROUND(Assumptions!$B$19+(Assumptions!$B$20-Assumptions!$B$19)*(24-12)/12,0)</f>
        <v>2500</v>
      </c>
      <c r="Z6" s="35" t="n">
        <f aca="false">ROUND(Assumptions!$B$20+(Assumptions!$B$21-Assumptions!$B$20)*(25-24)/12,0)</f>
        <v>3187</v>
      </c>
      <c r="AA6" s="35" t="n">
        <f aca="false">ROUND(Assumptions!$B$20+(Assumptions!$B$21-Assumptions!$B$20)*(26-24)/12,0)</f>
        <v>3874</v>
      </c>
      <c r="AB6" s="35" t="n">
        <f aca="false">ROUND(Assumptions!$B$20+(Assumptions!$B$21-Assumptions!$B$20)*(27-24)/12,0)</f>
        <v>4560</v>
      </c>
      <c r="AC6" s="35" t="n">
        <f aca="false">ROUND(Assumptions!$B$20+(Assumptions!$B$21-Assumptions!$B$20)*(28-24)/12,0)</f>
        <v>5247</v>
      </c>
      <c r="AD6" s="35" t="n">
        <f aca="false">ROUND(Assumptions!$B$20+(Assumptions!$B$21-Assumptions!$B$20)*(29-24)/12,0)</f>
        <v>5934</v>
      </c>
      <c r="AE6" s="35" t="n">
        <f aca="false">ROUND(Assumptions!$B$20+(Assumptions!$B$21-Assumptions!$B$20)*(30-24)/12,0)</f>
        <v>6621</v>
      </c>
      <c r="AF6" s="35" t="n">
        <f aca="false">ROUND(Assumptions!$B$20+(Assumptions!$B$21-Assumptions!$B$20)*(31-24)/12,0)</f>
        <v>7307</v>
      </c>
      <c r="AG6" s="35" t="n">
        <f aca="false">ROUND(Assumptions!$B$20+(Assumptions!$B$21-Assumptions!$B$20)*(32-24)/12,0)</f>
        <v>7994</v>
      </c>
      <c r="AH6" s="35" t="n">
        <f aca="false">ROUND(Assumptions!$B$20+(Assumptions!$B$21-Assumptions!$B$20)*(33-24)/12,0)</f>
        <v>8681</v>
      </c>
      <c r="AI6" s="35" t="n">
        <f aca="false">ROUND(Assumptions!$B$20+(Assumptions!$B$21-Assumptions!$B$20)*(34-24)/12,0)</f>
        <v>9368</v>
      </c>
      <c r="AJ6" s="35" t="n">
        <f aca="false">ROUND(Assumptions!$B$20+(Assumptions!$B$21-Assumptions!$B$20)*(35-24)/12,0)</f>
        <v>10054</v>
      </c>
      <c r="AK6" s="35" t="n">
        <f aca="false">ROUND(Assumptions!$B$20+(Assumptions!$B$21-Assumptions!$B$20)*(36-24)/12,0)</f>
        <v>10741</v>
      </c>
    </row>
    <row r="7" customFormat="false" ht="15" hidden="false" customHeight="true" outlineLevel="0" collapsed="false">
      <c r="A7" s="9" t="s">
        <v>316</v>
      </c>
      <c r="B7" s="14" t="n">
        <f aca="false">B6*Assumptions!$B$13</f>
        <v>15505</v>
      </c>
      <c r="C7" s="14" t="n">
        <f aca="false">C6*Assumptions!$B$13</f>
        <v>28795</v>
      </c>
      <c r="D7" s="14" t="n">
        <f aca="false">D6*Assumptions!$B$13</f>
        <v>44300</v>
      </c>
      <c r="E7" s="14" t="n">
        <f aca="false">E6*Assumptions!$B$13</f>
        <v>73095</v>
      </c>
      <c r="F7" s="14" t="n">
        <f aca="false">F6*Assumptions!$B$13</f>
        <v>104105</v>
      </c>
      <c r="G7" s="14" t="n">
        <f aca="false">G6*Assumptions!$B$13</f>
        <v>132900</v>
      </c>
      <c r="H7" s="14" t="n">
        <f aca="false">H6*Assumptions!$B$13</f>
        <v>161695</v>
      </c>
      <c r="I7" s="14" t="n">
        <f aca="false">I6*Assumptions!$B$13</f>
        <v>192705</v>
      </c>
      <c r="J7" s="14" t="n">
        <f aca="false">J6*Assumptions!$B$13</f>
        <v>221500</v>
      </c>
      <c r="K7" s="14" t="n">
        <f aca="false">K6*Assumptions!$B$13</f>
        <v>443000</v>
      </c>
      <c r="L7" s="14" t="n">
        <f aca="false">L6*Assumptions!$B$13</f>
        <v>664500</v>
      </c>
      <c r="M7" s="14" t="n">
        <f aca="false">M6*Assumptions!$B$13</f>
        <v>886000</v>
      </c>
      <c r="N7" s="14" t="n">
        <f aca="false">N6*Assumptions!$B$13</f>
        <v>1273625</v>
      </c>
      <c r="O7" s="14" t="n">
        <f aca="false">O6*Assumptions!$B$13</f>
        <v>1661250</v>
      </c>
      <c r="P7" s="14" t="n">
        <f aca="false">P6*Assumptions!$B$13</f>
        <v>2048875</v>
      </c>
      <c r="Q7" s="14" t="n">
        <f aca="false">Q6*Assumptions!$B$13</f>
        <v>2436500</v>
      </c>
      <c r="R7" s="14" t="n">
        <f aca="false">R6*Assumptions!$B$13</f>
        <v>2824125</v>
      </c>
      <c r="S7" s="14" t="n">
        <f aca="false">S6*Assumptions!$B$13</f>
        <v>3211750</v>
      </c>
      <c r="T7" s="14" t="n">
        <f aca="false">T6*Assumptions!$B$13</f>
        <v>3599375</v>
      </c>
      <c r="U7" s="14" t="n">
        <f aca="false">U6*Assumptions!$B$13</f>
        <v>3987000</v>
      </c>
      <c r="V7" s="14" t="n">
        <f aca="false">V6*Assumptions!$B$13</f>
        <v>4374625</v>
      </c>
      <c r="W7" s="14" t="n">
        <f aca="false">W6*Assumptions!$B$13</f>
        <v>4762250</v>
      </c>
      <c r="X7" s="14" t="n">
        <f aca="false">X6*Assumptions!$B$13</f>
        <v>5149875</v>
      </c>
      <c r="Y7" s="14" t="n">
        <f aca="false">Y6*Assumptions!$B$13</f>
        <v>5537500</v>
      </c>
      <c r="Z7" s="14" t="n">
        <f aca="false">Z6*Assumptions!$B$13</f>
        <v>7059205</v>
      </c>
      <c r="AA7" s="14" t="n">
        <f aca="false">AA6*Assumptions!$B$13</f>
        <v>8580910</v>
      </c>
      <c r="AB7" s="14" t="n">
        <f aca="false">AB6*Assumptions!$B$13</f>
        <v>10100400</v>
      </c>
      <c r="AC7" s="14" t="n">
        <f aca="false">AC6*Assumptions!$B$13</f>
        <v>11622105</v>
      </c>
      <c r="AD7" s="14" t="n">
        <f aca="false">AD6*Assumptions!$B$13</f>
        <v>13143810</v>
      </c>
      <c r="AE7" s="14" t="n">
        <f aca="false">AE6*Assumptions!$B$13</f>
        <v>14665515</v>
      </c>
      <c r="AF7" s="14" t="n">
        <f aca="false">AF6*Assumptions!$B$13</f>
        <v>16185005</v>
      </c>
      <c r="AG7" s="14" t="n">
        <f aca="false">AG6*Assumptions!$B$13</f>
        <v>17706710</v>
      </c>
      <c r="AH7" s="14" t="n">
        <f aca="false">AH6*Assumptions!$B$13</f>
        <v>19228415</v>
      </c>
      <c r="AI7" s="14" t="n">
        <f aca="false">AI6*Assumptions!$B$13</f>
        <v>20750120</v>
      </c>
      <c r="AJ7" s="14" t="n">
        <f aca="false">AJ6*Assumptions!$B$13</f>
        <v>22269610</v>
      </c>
      <c r="AK7" s="14" t="n">
        <f aca="false">AK6*Assumptions!$B$13</f>
        <v>23791315</v>
      </c>
    </row>
    <row r="9" customFormat="false" ht="15" hidden="false" customHeight="true" outlineLevel="0" collapsed="false">
      <c r="A9" s="34" t="s">
        <v>317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</row>
    <row r="10" customFormat="false" ht="15" hidden="false" customHeight="true" outlineLevel="0" collapsed="false">
      <c r="A10" s="5" t="s">
        <v>318</v>
      </c>
      <c r="B10" s="14" t="n">
        <f aca="false">B6*Assumptions!$B$26</f>
        <v>2310</v>
      </c>
      <c r="C10" s="14" t="n">
        <f aca="false">C6*Assumptions!$B$26</f>
        <v>4290</v>
      </c>
      <c r="D10" s="14" t="n">
        <f aca="false">D6*Assumptions!$B$26</f>
        <v>6600</v>
      </c>
      <c r="E10" s="14" t="n">
        <f aca="false">E6*Assumptions!$B$26</f>
        <v>10890</v>
      </c>
      <c r="F10" s="14" t="n">
        <f aca="false">F6*Assumptions!$B$26</f>
        <v>15510</v>
      </c>
      <c r="G10" s="14" t="n">
        <f aca="false">G6*Assumptions!$B$26</f>
        <v>19800</v>
      </c>
      <c r="H10" s="14" t="n">
        <f aca="false">H6*Assumptions!$B$26</f>
        <v>24090</v>
      </c>
      <c r="I10" s="14" t="n">
        <f aca="false">I6*Assumptions!$B$26</f>
        <v>28710</v>
      </c>
      <c r="J10" s="14" t="n">
        <f aca="false">J6*Assumptions!$B$26</f>
        <v>33000</v>
      </c>
      <c r="K10" s="14" t="n">
        <f aca="false">K6*Assumptions!$B$26</f>
        <v>66000</v>
      </c>
      <c r="L10" s="14" t="n">
        <f aca="false">L6*Assumptions!$B$26</f>
        <v>99000</v>
      </c>
      <c r="M10" s="14" t="n">
        <f aca="false">M6*Assumptions!$B$26</f>
        <v>132000</v>
      </c>
      <c r="N10" s="14" t="n">
        <f aca="false">N6*Assumptions!$B$26</f>
        <v>189750</v>
      </c>
      <c r="O10" s="14" t="n">
        <f aca="false">O6*Assumptions!$B$26</f>
        <v>247500</v>
      </c>
      <c r="P10" s="14" t="n">
        <f aca="false">P6*Assumptions!$B$26</f>
        <v>305250</v>
      </c>
      <c r="Q10" s="14" t="n">
        <f aca="false">Q6*Assumptions!$B$26</f>
        <v>363000</v>
      </c>
      <c r="R10" s="14" t="n">
        <f aca="false">R6*Assumptions!$B$26</f>
        <v>420750</v>
      </c>
      <c r="S10" s="14" t="n">
        <f aca="false">S6*Assumptions!$B$26</f>
        <v>478500</v>
      </c>
      <c r="T10" s="14" t="n">
        <f aca="false">T6*Assumptions!$B$26</f>
        <v>536250</v>
      </c>
      <c r="U10" s="14" t="n">
        <f aca="false">U6*Assumptions!$B$26</f>
        <v>594000</v>
      </c>
      <c r="V10" s="14" t="n">
        <f aca="false">V6*Assumptions!$B$26</f>
        <v>651750</v>
      </c>
      <c r="W10" s="14" t="n">
        <f aca="false">W6*Assumptions!$B$26</f>
        <v>709500</v>
      </c>
      <c r="X10" s="14" t="n">
        <f aca="false">X6*Assumptions!$B$26</f>
        <v>767250</v>
      </c>
      <c r="Y10" s="14" t="n">
        <f aca="false">Y6*Assumptions!$B$26</f>
        <v>825000</v>
      </c>
      <c r="Z10" s="14" t="n">
        <f aca="false">Z6*Assumptions!$B$26</f>
        <v>1051710</v>
      </c>
      <c r="AA10" s="14" t="n">
        <f aca="false">AA6*Assumptions!$B$26</f>
        <v>1278420</v>
      </c>
      <c r="AB10" s="14" t="n">
        <f aca="false">AB6*Assumptions!$B$26</f>
        <v>1504800</v>
      </c>
      <c r="AC10" s="14" t="n">
        <f aca="false">AC6*Assumptions!$B$26</f>
        <v>1731510</v>
      </c>
      <c r="AD10" s="14" t="n">
        <f aca="false">AD6*Assumptions!$B$26</f>
        <v>1958220</v>
      </c>
      <c r="AE10" s="14" t="n">
        <f aca="false">AE6*Assumptions!$B$26</f>
        <v>2184930</v>
      </c>
      <c r="AF10" s="14" t="n">
        <f aca="false">AF6*Assumptions!$B$26</f>
        <v>2411310</v>
      </c>
      <c r="AG10" s="14" t="n">
        <f aca="false">AG6*Assumptions!$B$26</f>
        <v>2638020</v>
      </c>
      <c r="AH10" s="14" t="n">
        <f aca="false">AH6*Assumptions!$B$26</f>
        <v>2864730</v>
      </c>
      <c r="AI10" s="14" t="n">
        <f aca="false">AI6*Assumptions!$B$26</f>
        <v>3091440</v>
      </c>
      <c r="AJ10" s="14" t="n">
        <f aca="false">AJ6*Assumptions!$B$26</f>
        <v>3317820</v>
      </c>
      <c r="AK10" s="14" t="n">
        <f aca="false">AK6*Assumptions!$B$26</f>
        <v>3544530</v>
      </c>
    </row>
    <row r="11" customFormat="false" ht="15" hidden="false" customHeight="true" outlineLevel="0" collapsed="false">
      <c r="A11" s="5" t="s">
        <v>319</v>
      </c>
      <c r="B11" s="14" t="n">
        <f aca="false">B7*Assumptions!$B$27</f>
        <v>387.625</v>
      </c>
      <c r="C11" s="14" t="n">
        <f aca="false">C7*Assumptions!$B$27</f>
        <v>719.875</v>
      </c>
      <c r="D11" s="14" t="n">
        <f aca="false">D7*Assumptions!$B$27</f>
        <v>1107.5</v>
      </c>
      <c r="E11" s="14" t="n">
        <f aca="false">E7*Assumptions!$B$27</f>
        <v>1827.375</v>
      </c>
      <c r="F11" s="14" t="n">
        <f aca="false">F7*Assumptions!$B$27</f>
        <v>2602.625</v>
      </c>
      <c r="G11" s="14" t="n">
        <f aca="false">G7*Assumptions!$B$27</f>
        <v>3322.5</v>
      </c>
      <c r="H11" s="14" t="n">
        <f aca="false">H7*Assumptions!$B$27</f>
        <v>4042.375</v>
      </c>
      <c r="I11" s="14" t="n">
        <f aca="false">I7*Assumptions!$B$27</f>
        <v>4817.625</v>
      </c>
      <c r="J11" s="14" t="n">
        <f aca="false">J7*Assumptions!$B$27</f>
        <v>5537.5</v>
      </c>
      <c r="K11" s="14" t="n">
        <f aca="false">K7*Assumptions!$B$27</f>
        <v>11075</v>
      </c>
      <c r="L11" s="14" t="n">
        <f aca="false">L7*Assumptions!$B$27</f>
        <v>16612.5</v>
      </c>
      <c r="M11" s="14" t="n">
        <f aca="false">M7*Assumptions!$B$27</f>
        <v>22150</v>
      </c>
      <c r="N11" s="14" t="n">
        <f aca="false">N7*Assumptions!$B$27</f>
        <v>31840.625</v>
      </c>
      <c r="O11" s="14" t="n">
        <f aca="false">O7*Assumptions!$B$27</f>
        <v>41531.25</v>
      </c>
      <c r="P11" s="14" t="n">
        <f aca="false">P7*Assumptions!$B$27</f>
        <v>51221.875</v>
      </c>
      <c r="Q11" s="14" t="n">
        <f aca="false">Q7*Assumptions!$B$27</f>
        <v>60912.5</v>
      </c>
      <c r="R11" s="14" t="n">
        <f aca="false">R7*Assumptions!$B$27</f>
        <v>70603.125</v>
      </c>
      <c r="S11" s="14" t="n">
        <f aca="false">S7*Assumptions!$B$27</f>
        <v>80293.75</v>
      </c>
      <c r="T11" s="14" t="n">
        <f aca="false">T7*Assumptions!$B$27</f>
        <v>89984.375</v>
      </c>
      <c r="U11" s="14" t="n">
        <f aca="false">U7*Assumptions!$B$27</f>
        <v>99675</v>
      </c>
      <c r="V11" s="14" t="n">
        <f aca="false">V7*Assumptions!$B$27</f>
        <v>109365.625</v>
      </c>
      <c r="W11" s="14" t="n">
        <f aca="false">W7*Assumptions!$B$27</f>
        <v>119056.25</v>
      </c>
      <c r="X11" s="14" t="n">
        <f aca="false">X7*Assumptions!$B$27</f>
        <v>128746.875</v>
      </c>
      <c r="Y11" s="14" t="n">
        <f aca="false">Y7*Assumptions!$B$27</f>
        <v>138437.5</v>
      </c>
      <c r="Z11" s="14" t="n">
        <f aca="false">Z7*Assumptions!$B$27</f>
        <v>176480.125</v>
      </c>
      <c r="AA11" s="14" t="n">
        <f aca="false">AA7*Assumptions!$B$27</f>
        <v>214522.75</v>
      </c>
      <c r="AB11" s="14" t="n">
        <f aca="false">AB7*Assumptions!$B$27</f>
        <v>252510</v>
      </c>
      <c r="AC11" s="14" t="n">
        <f aca="false">AC7*Assumptions!$B$27</f>
        <v>290552.625</v>
      </c>
      <c r="AD11" s="14" t="n">
        <f aca="false">AD7*Assumptions!$B$27</f>
        <v>328595.25</v>
      </c>
      <c r="AE11" s="14" t="n">
        <f aca="false">AE7*Assumptions!$B$27</f>
        <v>366637.875</v>
      </c>
      <c r="AF11" s="14" t="n">
        <f aca="false">AF7*Assumptions!$B$27</f>
        <v>404625.125</v>
      </c>
      <c r="AG11" s="14" t="n">
        <f aca="false">AG7*Assumptions!$B$27</f>
        <v>442667.75</v>
      </c>
      <c r="AH11" s="14" t="n">
        <f aca="false">AH7*Assumptions!$B$27</f>
        <v>480710.375</v>
      </c>
      <c r="AI11" s="14" t="n">
        <f aca="false">AI7*Assumptions!$B$27</f>
        <v>518753</v>
      </c>
      <c r="AJ11" s="14" t="n">
        <f aca="false">AJ7*Assumptions!$B$27</f>
        <v>556740.25</v>
      </c>
      <c r="AK11" s="14" t="n">
        <f aca="false">AK7*Assumptions!$B$27</f>
        <v>594782.875</v>
      </c>
    </row>
    <row r="12" customFormat="false" ht="15" hidden="false" customHeight="true" outlineLevel="0" collapsed="false">
      <c r="A12" s="5" t="s">
        <v>320</v>
      </c>
      <c r="B12" s="14" t="n">
        <f aca="false">B7*Assumptions!$B$28</f>
        <v>2325.75</v>
      </c>
      <c r="C12" s="14" t="n">
        <f aca="false">C7*Assumptions!$B$28</f>
        <v>4319.25</v>
      </c>
      <c r="D12" s="14" t="n">
        <f aca="false">D7*Assumptions!$B$28</f>
        <v>6645</v>
      </c>
      <c r="E12" s="14" t="n">
        <f aca="false">E7*Assumptions!$B$28</f>
        <v>10964.25</v>
      </c>
      <c r="F12" s="14" t="n">
        <f aca="false">F7*Assumptions!$B$28</f>
        <v>15615.75</v>
      </c>
      <c r="G12" s="14" t="n">
        <f aca="false">G7*Assumptions!$B$28</f>
        <v>19935</v>
      </c>
      <c r="H12" s="14" t="n">
        <f aca="false">H7*Assumptions!$B$28</f>
        <v>24254.25</v>
      </c>
      <c r="I12" s="14" t="n">
        <f aca="false">I7*Assumptions!$B$28</f>
        <v>28905.75</v>
      </c>
      <c r="J12" s="14" t="n">
        <f aca="false">J7*Assumptions!$B$28</f>
        <v>33225</v>
      </c>
      <c r="K12" s="14" t="n">
        <f aca="false">K7*Assumptions!$B$28</f>
        <v>66450</v>
      </c>
      <c r="L12" s="14" t="n">
        <f aca="false">L7*Assumptions!$B$28</f>
        <v>99675</v>
      </c>
      <c r="M12" s="14" t="n">
        <f aca="false">M7*Assumptions!$B$28</f>
        <v>132900</v>
      </c>
      <c r="N12" s="14" t="n">
        <f aca="false">N7*Assumptions!$B$28</f>
        <v>191043.75</v>
      </c>
      <c r="O12" s="14" t="n">
        <f aca="false">O7*Assumptions!$B$28</f>
        <v>249187.5</v>
      </c>
      <c r="P12" s="14" t="n">
        <f aca="false">P7*Assumptions!$B$28</f>
        <v>307331.25</v>
      </c>
      <c r="Q12" s="14" t="n">
        <f aca="false">Q7*Assumptions!$B$28</f>
        <v>365475</v>
      </c>
      <c r="R12" s="14" t="n">
        <f aca="false">R7*Assumptions!$B$28</f>
        <v>423618.75</v>
      </c>
      <c r="S12" s="14" t="n">
        <f aca="false">S7*Assumptions!$B$28</f>
        <v>481762.5</v>
      </c>
      <c r="T12" s="14" t="n">
        <f aca="false">T7*Assumptions!$B$28</f>
        <v>539906.25</v>
      </c>
      <c r="U12" s="14" t="n">
        <f aca="false">U7*Assumptions!$B$28</f>
        <v>598050</v>
      </c>
      <c r="V12" s="14" t="n">
        <f aca="false">V7*Assumptions!$B$28</f>
        <v>656193.75</v>
      </c>
      <c r="W12" s="14" t="n">
        <f aca="false">W7*Assumptions!$B$28</f>
        <v>714337.5</v>
      </c>
      <c r="X12" s="14" t="n">
        <f aca="false">X7*Assumptions!$B$28</f>
        <v>772481.25</v>
      </c>
      <c r="Y12" s="14" t="n">
        <f aca="false">Y7*Assumptions!$B$28</f>
        <v>830625</v>
      </c>
      <c r="Z12" s="14" t="n">
        <f aca="false">Z7*Assumptions!$B$28</f>
        <v>1058880.75</v>
      </c>
      <c r="AA12" s="14" t="n">
        <f aca="false">AA7*Assumptions!$B$28</f>
        <v>1287136.5</v>
      </c>
      <c r="AB12" s="14" t="n">
        <f aca="false">AB7*Assumptions!$B$28</f>
        <v>1515060</v>
      </c>
      <c r="AC12" s="14" t="n">
        <f aca="false">AC7*Assumptions!$B$28</f>
        <v>1743315.75</v>
      </c>
      <c r="AD12" s="14" t="n">
        <f aca="false">AD7*Assumptions!$B$28</f>
        <v>1971571.5</v>
      </c>
      <c r="AE12" s="14" t="n">
        <f aca="false">AE7*Assumptions!$B$28</f>
        <v>2199827.25</v>
      </c>
      <c r="AF12" s="14" t="n">
        <f aca="false">AF7*Assumptions!$B$28</f>
        <v>2427750.75</v>
      </c>
      <c r="AG12" s="14" t="n">
        <f aca="false">AG7*Assumptions!$B$28</f>
        <v>2656006.5</v>
      </c>
      <c r="AH12" s="14" t="n">
        <f aca="false">AH7*Assumptions!$B$28</f>
        <v>2884262.25</v>
      </c>
      <c r="AI12" s="14" t="n">
        <f aca="false">AI7*Assumptions!$B$28</f>
        <v>3112518</v>
      </c>
      <c r="AJ12" s="14" t="n">
        <f aca="false">AJ7*Assumptions!$B$28</f>
        <v>3340441.5</v>
      </c>
      <c r="AK12" s="14" t="n">
        <f aca="false">AK7*Assumptions!$B$28</f>
        <v>3568697.25</v>
      </c>
    </row>
    <row r="13" customFormat="false" ht="15" hidden="false" customHeight="true" outlineLevel="0" collapsed="false">
      <c r="A13" s="9" t="s">
        <v>321</v>
      </c>
      <c r="B13" s="12" t="n">
        <f aca="false">SUM(B10:B12)</f>
        <v>5023.375</v>
      </c>
      <c r="C13" s="12" t="n">
        <f aca="false">SUM(C10:C12)</f>
        <v>9329.125</v>
      </c>
      <c r="D13" s="12" t="n">
        <f aca="false">SUM(D10:D12)</f>
        <v>14352.5</v>
      </c>
      <c r="E13" s="12" t="n">
        <f aca="false">SUM(E10:E12)</f>
        <v>23681.625</v>
      </c>
      <c r="F13" s="12" t="n">
        <f aca="false">SUM(F10:F12)</f>
        <v>33728.375</v>
      </c>
      <c r="G13" s="12" t="n">
        <f aca="false">SUM(G10:G12)</f>
        <v>43057.5</v>
      </c>
      <c r="H13" s="12" t="n">
        <f aca="false">SUM(H10:H12)</f>
        <v>52386.625</v>
      </c>
      <c r="I13" s="12" t="n">
        <f aca="false">SUM(I10:I12)</f>
        <v>62433.375</v>
      </c>
      <c r="J13" s="12" t="n">
        <f aca="false">SUM(J10:J12)</f>
        <v>71762.5</v>
      </c>
      <c r="K13" s="12" t="n">
        <f aca="false">SUM(K10:K12)</f>
        <v>143525</v>
      </c>
      <c r="L13" s="12" t="n">
        <f aca="false">SUM(L10:L12)</f>
        <v>215287.5</v>
      </c>
      <c r="M13" s="12" t="n">
        <f aca="false">SUM(M10:M12)</f>
        <v>287050</v>
      </c>
      <c r="N13" s="12" t="n">
        <f aca="false">SUM(N10:N12)</f>
        <v>412634.375</v>
      </c>
      <c r="O13" s="12" t="n">
        <f aca="false">SUM(O10:O12)</f>
        <v>538218.75</v>
      </c>
      <c r="P13" s="12" t="n">
        <f aca="false">SUM(P10:P12)</f>
        <v>663803.125</v>
      </c>
      <c r="Q13" s="12" t="n">
        <f aca="false">SUM(Q10:Q12)</f>
        <v>789387.5</v>
      </c>
      <c r="R13" s="12" t="n">
        <f aca="false">SUM(R10:R12)</f>
        <v>914971.875</v>
      </c>
      <c r="S13" s="12" t="n">
        <f aca="false">SUM(S10:S12)</f>
        <v>1040556.25</v>
      </c>
      <c r="T13" s="12" t="n">
        <f aca="false">SUM(T10:T12)</f>
        <v>1166140.625</v>
      </c>
      <c r="U13" s="12" t="n">
        <f aca="false">SUM(U10:U12)</f>
        <v>1291725</v>
      </c>
      <c r="V13" s="12" t="n">
        <f aca="false">SUM(V10:V12)</f>
        <v>1417309.375</v>
      </c>
      <c r="W13" s="12" t="n">
        <f aca="false">SUM(W10:W12)</f>
        <v>1542893.75</v>
      </c>
      <c r="X13" s="12" t="n">
        <f aca="false">SUM(X10:X12)</f>
        <v>1668478.125</v>
      </c>
      <c r="Y13" s="12" t="n">
        <f aca="false">SUM(Y10:Y12)</f>
        <v>1794062.5</v>
      </c>
      <c r="Z13" s="12" t="n">
        <f aca="false">SUM(Z10:Z12)</f>
        <v>2287070.875</v>
      </c>
      <c r="AA13" s="12" t="n">
        <f aca="false">SUM(AA10:AA12)</f>
        <v>2780079.25</v>
      </c>
      <c r="AB13" s="12" t="n">
        <f aca="false">SUM(AB10:AB12)</f>
        <v>3272370</v>
      </c>
      <c r="AC13" s="12" t="n">
        <f aca="false">SUM(AC10:AC12)</f>
        <v>3765378.375</v>
      </c>
      <c r="AD13" s="12" t="n">
        <f aca="false">SUM(AD10:AD12)</f>
        <v>4258386.75</v>
      </c>
      <c r="AE13" s="12" t="n">
        <f aca="false">SUM(AE10:AE12)</f>
        <v>4751395.125</v>
      </c>
      <c r="AF13" s="12" t="n">
        <f aca="false">SUM(AF10:AF12)</f>
        <v>5243685.875</v>
      </c>
      <c r="AG13" s="12" t="n">
        <f aca="false">SUM(AG10:AG12)</f>
        <v>5736694.25</v>
      </c>
      <c r="AH13" s="12" t="n">
        <f aca="false">SUM(AH10:AH12)</f>
        <v>6229702.625</v>
      </c>
      <c r="AI13" s="12" t="n">
        <f aca="false">SUM(AI10:AI12)</f>
        <v>6722711</v>
      </c>
      <c r="AJ13" s="12" t="n">
        <f aca="false">SUM(AJ10:AJ12)</f>
        <v>7215001.75</v>
      </c>
      <c r="AK13" s="12" t="n">
        <f aca="false">SUM(AK10:AK12)</f>
        <v>7708010.125</v>
      </c>
    </row>
    <row r="14" customFormat="false" ht="15" hidden="false" customHeight="true" outlineLevel="0" collapsed="false">
      <c r="A14" s="9" t="s">
        <v>322</v>
      </c>
      <c r="B14" s="36" t="n">
        <f aca="false">B7-B13</f>
        <v>10481.625</v>
      </c>
      <c r="C14" s="36" t="n">
        <f aca="false">C7-C13</f>
        <v>19465.875</v>
      </c>
      <c r="D14" s="36" t="n">
        <f aca="false">D7-D13</f>
        <v>29947.5</v>
      </c>
      <c r="E14" s="36" t="n">
        <f aca="false">E7-E13</f>
        <v>49413.375</v>
      </c>
      <c r="F14" s="36" t="n">
        <f aca="false">F7-F13</f>
        <v>70376.625</v>
      </c>
      <c r="G14" s="36" t="n">
        <f aca="false">G7-G13</f>
        <v>89842.5</v>
      </c>
      <c r="H14" s="36" t="n">
        <f aca="false">H7-H13</f>
        <v>109308.375</v>
      </c>
      <c r="I14" s="36" t="n">
        <f aca="false">I7-I13</f>
        <v>130271.625</v>
      </c>
      <c r="J14" s="36" t="n">
        <f aca="false">J7-J13</f>
        <v>149737.5</v>
      </c>
      <c r="K14" s="36" t="n">
        <f aca="false">K7-K13</f>
        <v>299475</v>
      </c>
      <c r="L14" s="36" t="n">
        <f aca="false">L7-L13</f>
        <v>449212.5</v>
      </c>
      <c r="M14" s="36" t="n">
        <f aca="false">M7-M13</f>
        <v>598950</v>
      </c>
      <c r="N14" s="36" t="n">
        <f aca="false">N7-N13</f>
        <v>860990.625</v>
      </c>
      <c r="O14" s="36" t="n">
        <f aca="false">O7-O13</f>
        <v>1123031.25</v>
      </c>
      <c r="P14" s="36" t="n">
        <f aca="false">P7-P13</f>
        <v>1385071.875</v>
      </c>
      <c r="Q14" s="36" t="n">
        <f aca="false">Q7-Q13</f>
        <v>1647112.5</v>
      </c>
      <c r="R14" s="36" t="n">
        <f aca="false">R7-R13</f>
        <v>1909153.125</v>
      </c>
      <c r="S14" s="36" t="n">
        <f aca="false">S7-S13</f>
        <v>2171193.75</v>
      </c>
      <c r="T14" s="36" t="n">
        <f aca="false">T7-T13</f>
        <v>2433234.375</v>
      </c>
      <c r="U14" s="36" t="n">
        <f aca="false">U7-U13</f>
        <v>2695275</v>
      </c>
      <c r="V14" s="36" t="n">
        <f aca="false">V7-V13</f>
        <v>2957315.625</v>
      </c>
      <c r="W14" s="36" t="n">
        <f aca="false">W7-W13</f>
        <v>3219356.25</v>
      </c>
      <c r="X14" s="36" t="n">
        <f aca="false">X7-X13</f>
        <v>3481396.875</v>
      </c>
      <c r="Y14" s="36" t="n">
        <f aca="false">Y7-Y13</f>
        <v>3743437.5</v>
      </c>
      <c r="Z14" s="36" t="n">
        <f aca="false">Z7-Z13</f>
        <v>4772134.125</v>
      </c>
      <c r="AA14" s="36" t="n">
        <f aca="false">AA7-AA13</f>
        <v>5800830.75</v>
      </c>
      <c r="AB14" s="36" t="n">
        <f aca="false">AB7-AB13</f>
        <v>6828030</v>
      </c>
      <c r="AC14" s="36" t="n">
        <f aca="false">AC7-AC13</f>
        <v>7856726.625</v>
      </c>
      <c r="AD14" s="36" t="n">
        <f aca="false">AD7-AD13</f>
        <v>8885423.25</v>
      </c>
      <c r="AE14" s="36" t="n">
        <f aca="false">AE7-AE13</f>
        <v>9914119.875</v>
      </c>
      <c r="AF14" s="36" t="n">
        <f aca="false">AF7-AF13</f>
        <v>10941319.125</v>
      </c>
      <c r="AG14" s="36" t="n">
        <f aca="false">AG7-AG13</f>
        <v>11970015.75</v>
      </c>
      <c r="AH14" s="36" t="n">
        <f aca="false">AH7-AH13</f>
        <v>12998712.375</v>
      </c>
      <c r="AI14" s="36" t="n">
        <f aca="false">AI7-AI13</f>
        <v>14027409</v>
      </c>
      <c r="AJ14" s="36" t="n">
        <f aca="false">AJ7-AJ13</f>
        <v>15054608.25</v>
      </c>
      <c r="AK14" s="36" t="n">
        <f aca="false">AK7-AK13</f>
        <v>16083304.875</v>
      </c>
    </row>
    <row r="15" customFormat="false" ht="15" hidden="false" customHeight="true" outlineLevel="0" collapsed="false">
      <c r="A15" s="5" t="s">
        <v>323</v>
      </c>
      <c r="B15" s="37" t="n">
        <f aca="false">IF(B7=0,0,B14/B7)</f>
        <v>0.676015801354402</v>
      </c>
      <c r="C15" s="37" t="n">
        <f aca="false">IF(C7=0,0,C14/C7)</f>
        <v>0.676015801354402</v>
      </c>
      <c r="D15" s="37" t="n">
        <f aca="false">IF(D7=0,0,D14/D7)</f>
        <v>0.676015801354402</v>
      </c>
      <c r="E15" s="37" t="n">
        <f aca="false">IF(E7=0,0,E14/E7)</f>
        <v>0.676015801354402</v>
      </c>
      <c r="F15" s="37" t="n">
        <f aca="false">IF(F7=0,0,F14/F7)</f>
        <v>0.676015801354402</v>
      </c>
      <c r="G15" s="37" t="n">
        <f aca="false">IF(G7=0,0,G14/G7)</f>
        <v>0.676015801354402</v>
      </c>
      <c r="H15" s="37" t="n">
        <f aca="false">IF(H7=0,0,H14/H7)</f>
        <v>0.676015801354402</v>
      </c>
      <c r="I15" s="37" t="n">
        <f aca="false">IF(I7=0,0,I14/I7)</f>
        <v>0.676015801354402</v>
      </c>
      <c r="J15" s="37" t="n">
        <f aca="false">IF(J7=0,0,J14/J7)</f>
        <v>0.676015801354402</v>
      </c>
      <c r="K15" s="37" t="n">
        <f aca="false">IF(K7=0,0,K14/K7)</f>
        <v>0.676015801354402</v>
      </c>
      <c r="L15" s="37" t="n">
        <f aca="false">IF(L7=0,0,L14/L7)</f>
        <v>0.676015801354402</v>
      </c>
      <c r="M15" s="37" t="n">
        <f aca="false">IF(M7=0,0,M14/M7)</f>
        <v>0.676015801354402</v>
      </c>
      <c r="N15" s="37" t="n">
        <f aca="false">IF(N7=0,0,N14/N7)</f>
        <v>0.676015801354402</v>
      </c>
      <c r="O15" s="37" t="n">
        <f aca="false">IF(O7=0,0,O14/O7)</f>
        <v>0.676015801354402</v>
      </c>
      <c r="P15" s="37" t="n">
        <f aca="false">IF(P7=0,0,P14/P7)</f>
        <v>0.676015801354402</v>
      </c>
      <c r="Q15" s="37" t="n">
        <f aca="false">IF(Q7=0,0,Q14/Q7)</f>
        <v>0.676015801354402</v>
      </c>
      <c r="R15" s="37" t="n">
        <f aca="false">IF(R7=0,0,R14/R7)</f>
        <v>0.676015801354402</v>
      </c>
      <c r="S15" s="37" t="n">
        <f aca="false">IF(S7=0,0,S14/S7)</f>
        <v>0.676015801354402</v>
      </c>
      <c r="T15" s="37" t="n">
        <f aca="false">IF(T7=0,0,T14/T7)</f>
        <v>0.676015801354402</v>
      </c>
      <c r="U15" s="37" t="n">
        <f aca="false">IF(U7=0,0,U14/U7)</f>
        <v>0.676015801354402</v>
      </c>
      <c r="V15" s="37" t="n">
        <f aca="false">IF(V7=0,0,V14/V7)</f>
        <v>0.676015801354402</v>
      </c>
      <c r="W15" s="37" t="n">
        <f aca="false">IF(W7=0,0,W14/W7)</f>
        <v>0.676015801354402</v>
      </c>
      <c r="X15" s="37" t="n">
        <f aca="false">IF(X7=0,0,X14/X7)</f>
        <v>0.676015801354402</v>
      </c>
      <c r="Y15" s="37" t="n">
        <f aca="false">IF(Y7=0,0,Y14/Y7)</f>
        <v>0.676015801354402</v>
      </c>
      <c r="Z15" s="37" t="n">
        <f aca="false">IF(Z7=0,0,Z14/Z7)</f>
        <v>0.676015801354402</v>
      </c>
      <c r="AA15" s="37" t="n">
        <f aca="false">IF(AA7=0,0,AA14/AA7)</f>
        <v>0.676015801354402</v>
      </c>
      <c r="AB15" s="37" t="n">
        <f aca="false">IF(AB7=0,0,AB14/AB7)</f>
        <v>0.676015801354402</v>
      </c>
      <c r="AC15" s="37" t="n">
        <f aca="false">IF(AC7=0,0,AC14/AC7)</f>
        <v>0.676015801354402</v>
      </c>
      <c r="AD15" s="37" t="n">
        <f aca="false">IF(AD7=0,0,AD14/AD7)</f>
        <v>0.676015801354402</v>
      </c>
      <c r="AE15" s="37" t="n">
        <f aca="false">IF(AE7=0,0,AE14/AE7)</f>
        <v>0.676015801354402</v>
      </c>
      <c r="AF15" s="37" t="n">
        <f aca="false">IF(AF7=0,0,AF14/AF7)</f>
        <v>0.676015801354402</v>
      </c>
      <c r="AG15" s="37" t="n">
        <f aca="false">IF(AG7=0,0,AG14/AG7)</f>
        <v>0.676015801354402</v>
      </c>
      <c r="AH15" s="37" t="n">
        <f aca="false">IF(AH7=0,0,AH14/AH7)</f>
        <v>0.676015801354402</v>
      </c>
      <c r="AI15" s="37" t="n">
        <f aca="false">IF(AI7=0,0,AI14/AI7)</f>
        <v>0.676015801354402</v>
      </c>
      <c r="AJ15" s="37" t="n">
        <f aca="false">IF(AJ7=0,0,AJ14/AJ7)</f>
        <v>0.676015801354402</v>
      </c>
      <c r="AK15" s="37" t="n">
        <f aca="false">IF(AK7=0,0,AK14/AK7)</f>
        <v>0.676015801354402</v>
      </c>
    </row>
    <row r="17" customFormat="false" ht="15" hidden="false" customHeight="true" outlineLevel="0" collapsed="false">
      <c r="A17" s="34" t="s">
        <v>324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 customFormat="false" ht="15" hidden="false" customHeight="true" outlineLevel="0" collapsed="false">
      <c r="A18" s="5" t="s">
        <v>325</v>
      </c>
      <c r="B18" s="38" t="n">
        <f aca="false">Assumptions!$B$39</f>
        <v>57000</v>
      </c>
      <c r="C18" s="38" t="n">
        <f aca="false">Assumptions!$B$39</f>
        <v>57000</v>
      </c>
      <c r="D18" s="38" t="n">
        <f aca="false">Assumptions!$B$39</f>
        <v>57000</v>
      </c>
      <c r="E18" s="38" t="n">
        <f aca="false">Assumptions!$B$39</f>
        <v>57000</v>
      </c>
      <c r="F18" s="38" t="n">
        <f aca="false">Assumptions!$B$39</f>
        <v>57000</v>
      </c>
      <c r="G18" s="38" t="n">
        <f aca="false">Assumptions!$B$39</f>
        <v>57000</v>
      </c>
      <c r="H18" s="38" t="n">
        <f aca="false">Assumptions!$B$39</f>
        <v>57000</v>
      </c>
      <c r="I18" s="38" t="n">
        <f aca="false">Assumptions!$B$39</f>
        <v>57000</v>
      </c>
      <c r="J18" s="38" t="n">
        <f aca="false">Assumptions!$B$39</f>
        <v>57000</v>
      </c>
      <c r="K18" s="38" t="n">
        <f aca="false">Assumptions!$B$39</f>
        <v>57000</v>
      </c>
      <c r="L18" s="38" t="n">
        <f aca="false">Assumptions!$B$39</f>
        <v>57000</v>
      </c>
      <c r="M18" s="38" t="n">
        <f aca="false">Assumptions!$B$39</f>
        <v>57000</v>
      </c>
      <c r="N18" s="38" t="n">
        <f aca="false">Assumptions!$C$39</f>
        <v>197000</v>
      </c>
      <c r="O18" s="38" t="n">
        <f aca="false">Assumptions!$C$39</f>
        <v>197000</v>
      </c>
      <c r="P18" s="38" t="n">
        <f aca="false">Assumptions!$C$39</f>
        <v>197000</v>
      </c>
      <c r="Q18" s="38" t="n">
        <f aca="false">Assumptions!$C$39</f>
        <v>197000</v>
      </c>
      <c r="R18" s="38" t="n">
        <f aca="false">Assumptions!$C$39</f>
        <v>197000</v>
      </c>
      <c r="S18" s="38" t="n">
        <f aca="false">Assumptions!$C$39</f>
        <v>197000</v>
      </c>
      <c r="T18" s="38" t="n">
        <f aca="false">Assumptions!$C$39</f>
        <v>197000</v>
      </c>
      <c r="U18" s="38" t="n">
        <f aca="false">Assumptions!$C$39</f>
        <v>197000</v>
      </c>
      <c r="V18" s="38" t="n">
        <f aca="false">Assumptions!$C$39</f>
        <v>197000</v>
      </c>
      <c r="W18" s="38" t="n">
        <f aca="false">Assumptions!$C$39</f>
        <v>197000</v>
      </c>
      <c r="X18" s="38" t="n">
        <f aca="false">Assumptions!$C$39</f>
        <v>197000</v>
      </c>
      <c r="Y18" s="38" t="n">
        <f aca="false">Assumptions!$C$39</f>
        <v>197000</v>
      </c>
      <c r="Z18" s="38" t="n">
        <f aca="false">Assumptions!$D$39</f>
        <v>615000</v>
      </c>
      <c r="AA18" s="38" t="n">
        <f aca="false">Assumptions!$D$39</f>
        <v>615000</v>
      </c>
      <c r="AB18" s="38" t="n">
        <f aca="false">Assumptions!$D$39</f>
        <v>615000</v>
      </c>
      <c r="AC18" s="38" t="n">
        <f aca="false">Assumptions!$D$39</f>
        <v>615000</v>
      </c>
      <c r="AD18" s="38" t="n">
        <f aca="false">Assumptions!$D$39</f>
        <v>615000</v>
      </c>
      <c r="AE18" s="38" t="n">
        <f aca="false">Assumptions!$D$39</f>
        <v>615000</v>
      </c>
      <c r="AF18" s="38" t="n">
        <f aca="false">Assumptions!$D$39</f>
        <v>615000</v>
      </c>
      <c r="AG18" s="38" t="n">
        <f aca="false">Assumptions!$D$39</f>
        <v>615000</v>
      </c>
      <c r="AH18" s="38" t="n">
        <f aca="false">Assumptions!$D$39</f>
        <v>615000</v>
      </c>
      <c r="AI18" s="38" t="n">
        <f aca="false">Assumptions!$D$39</f>
        <v>615000</v>
      </c>
      <c r="AJ18" s="38" t="n">
        <f aca="false">Assumptions!$D$39</f>
        <v>615000</v>
      </c>
      <c r="AK18" s="38" t="n">
        <f aca="false">Assumptions!$D$39</f>
        <v>615000</v>
      </c>
    </row>
    <row r="19" customFormat="false" ht="15" hidden="false" customHeight="true" outlineLevel="0" collapsed="false">
      <c r="A19" s="5" t="s">
        <v>326</v>
      </c>
      <c r="B19" s="38" t="n">
        <f aca="false">Assumptions!$B$45</f>
        <v>64000</v>
      </c>
      <c r="C19" s="38" t="n">
        <f aca="false">Assumptions!$B$45</f>
        <v>64000</v>
      </c>
      <c r="D19" s="38" t="n">
        <f aca="false">Assumptions!$B$45</f>
        <v>64000</v>
      </c>
      <c r="E19" s="38" t="n">
        <f aca="false">Assumptions!$B$45</f>
        <v>64000</v>
      </c>
      <c r="F19" s="38" t="n">
        <f aca="false">Assumptions!$B$45</f>
        <v>64000</v>
      </c>
      <c r="G19" s="38" t="n">
        <f aca="false">Assumptions!$B$45</f>
        <v>64000</v>
      </c>
      <c r="H19" s="38" t="n">
        <f aca="false">Assumptions!$B$45</f>
        <v>64000</v>
      </c>
      <c r="I19" s="38" t="n">
        <f aca="false">Assumptions!$B$45</f>
        <v>64000</v>
      </c>
      <c r="J19" s="38" t="n">
        <f aca="false">Assumptions!$B$45</f>
        <v>64000</v>
      </c>
      <c r="K19" s="38" t="n">
        <f aca="false">Assumptions!$B$45</f>
        <v>64000</v>
      </c>
      <c r="L19" s="38" t="n">
        <f aca="false">Assumptions!$B$45</f>
        <v>64000</v>
      </c>
      <c r="M19" s="38" t="n">
        <f aca="false">Assumptions!$B$45</f>
        <v>64000</v>
      </c>
      <c r="N19" s="38" t="n">
        <f aca="false">Assumptions!$C$45</f>
        <v>290000</v>
      </c>
      <c r="O19" s="38" t="n">
        <f aca="false">Assumptions!$C$45</f>
        <v>290000</v>
      </c>
      <c r="P19" s="38" t="n">
        <f aca="false">Assumptions!$C$45</f>
        <v>290000</v>
      </c>
      <c r="Q19" s="38" t="n">
        <f aca="false">Assumptions!$C$45</f>
        <v>290000</v>
      </c>
      <c r="R19" s="38" t="n">
        <f aca="false">Assumptions!$C$45</f>
        <v>290000</v>
      </c>
      <c r="S19" s="38" t="n">
        <f aca="false">Assumptions!$C$45</f>
        <v>290000</v>
      </c>
      <c r="T19" s="38" t="n">
        <f aca="false">Assumptions!$C$45</f>
        <v>290000</v>
      </c>
      <c r="U19" s="38" t="n">
        <f aca="false">Assumptions!$C$45</f>
        <v>290000</v>
      </c>
      <c r="V19" s="38" t="n">
        <f aca="false">Assumptions!$C$45</f>
        <v>290000</v>
      </c>
      <c r="W19" s="38" t="n">
        <f aca="false">Assumptions!$C$45</f>
        <v>290000</v>
      </c>
      <c r="X19" s="38" t="n">
        <f aca="false">Assumptions!$C$45</f>
        <v>290000</v>
      </c>
      <c r="Y19" s="38" t="n">
        <f aca="false">Assumptions!$C$45</f>
        <v>290000</v>
      </c>
      <c r="Z19" s="38" t="n">
        <f aca="false">Assumptions!$D$45</f>
        <v>1860000</v>
      </c>
      <c r="AA19" s="38" t="n">
        <f aca="false">Assumptions!$D$45</f>
        <v>1860000</v>
      </c>
      <c r="AB19" s="38" t="n">
        <f aca="false">Assumptions!$D$45</f>
        <v>1860000</v>
      </c>
      <c r="AC19" s="38" t="n">
        <f aca="false">Assumptions!$D$45</f>
        <v>1860000</v>
      </c>
      <c r="AD19" s="38" t="n">
        <f aca="false">Assumptions!$D$45</f>
        <v>1860000</v>
      </c>
      <c r="AE19" s="38" t="n">
        <f aca="false">Assumptions!$D$45</f>
        <v>1860000</v>
      </c>
      <c r="AF19" s="38" t="n">
        <f aca="false">Assumptions!$D$45</f>
        <v>1860000</v>
      </c>
      <c r="AG19" s="38" t="n">
        <f aca="false">Assumptions!$D$45</f>
        <v>1860000</v>
      </c>
      <c r="AH19" s="38" t="n">
        <f aca="false">Assumptions!$D$45</f>
        <v>1860000</v>
      </c>
      <c r="AI19" s="38" t="n">
        <f aca="false">Assumptions!$D$45</f>
        <v>1860000</v>
      </c>
      <c r="AJ19" s="38" t="n">
        <f aca="false">Assumptions!$D$45</f>
        <v>1860000</v>
      </c>
      <c r="AK19" s="38" t="n">
        <f aca="false">Assumptions!$D$45</f>
        <v>1860000</v>
      </c>
    </row>
    <row r="20" customFormat="false" ht="15" hidden="false" customHeight="true" outlineLevel="0" collapsed="false">
      <c r="A20" s="5" t="s">
        <v>327</v>
      </c>
      <c r="B20" s="38" t="n">
        <f aca="false">Assumptions!$B$62</f>
        <v>45950</v>
      </c>
      <c r="C20" s="38" t="n">
        <f aca="false">Assumptions!$B$62</f>
        <v>45950</v>
      </c>
      <c r="D20" s="38" t="n">
        <f aca="false">Assumptions!$B$62</f>
        <v>45950</v>
      </c>
      <c r="E20" s="38" t="n">
        <f aca="false">Assumptions!$B$62</f>
        <v>45950</v>
      </c>
      <c r="F20" s="38" t="n">
        <f aca="false">Assumptions!$B$62</f>
        <v>45950</v>
      </c>
      <c r="G20" s="38" t="n">
        <f aca="false">Assumptions!$B$62</f>
        <v>45950</v>
      </c>
      <c r="H20" s="38" t="n">
        <f aca="false">Assumptions!$B$62</f>
        <v>45950</v>
      </c>
      <c r="I20" s="38" t="n">
        <f aca="false">Assumptions!$B$62</f>
        <v>45950</v>
      </c>
      <c r="J20" s="38" t="n">
        <f aca="false">Assumptions!$B$62</f>
        <v>45950</v>
      </c>
      <c r="K20" s="38" t="n">
        <f aca="false">Assumptions!$B$62</f>
        <v>45950</v>
      </c>
      <c r="L20" s="38" t="n">
        <f aca="false">Assumptions!$B$62</f>
        <v>45950</v>
      </c>
      <c r="M20" s="38" t="n">
        <f aca="false">Assumptions!$B$62</f>
        <v>45950</v>
      </c>
      <c r="N20" s="38" t="n">
        <f aca="false">Assumptions!$C$62</f>
        <v>320450</v>
      </c>
      <c r="O20" s="38" t="n">
        <f aca="false">Assumptions!$C$62</f>
        <v>320450</v>
      </c>
      <c r="P20" s="38" t="n">
        <f aca="false">Assumptions!$C$62</f>
        <v>320450</v>
      </c>
      <c r="Q20" s="38" t="n">
        <f aca="false">Assumptions!$C$62</f>
        <v>320450</v>
      </c>
      <c r="R20" s="38" t="n">
        <f aca="false">Assumptions!$C$62</f>
        <v>320450</v>
      </c>
      <c r="S20" s="38" t="n">
        <f aca="false">Assumptions!$C$62</f>
        <v>320450</v>
      </c>
      <c r="T20" s="38" t="n">
        <f aca="false">Assumptions!$C$62</f>
        <v>320450</v>
      </c>
      <c r="U20" s="38" t="n">
        <f aca="false">Assumptions!$C$62</f>
        <v>320450</v>
      </c>
      <c r="V20" s="38" t="n">
        <f aca="false">Assumptions!$C$62</f>
        <v>320450</v>
      </c>
      <c r="W20" s="38" t="n">
        <f aca="false">Assumptions!$C$62</f>
        <v>320450</v>
      </c>
      <c r="X20" s="38" t="n">
        <f aca="false">Assumptions!$C$62</f>
        <v>320450</v>
      </c>
      <c r="Y20" s="38" t="n">
        <f aca="false">Assumptions!$C$62</f>
        <v>320450</v>
      </c>
      <c r="Z20" s="38" t="n">
        <f aca="false">Assumptions!$D$62</f>
        <v>1371150</v>
      </c>
      <c r="AA20" s="38" t="n">
        <f aca="false">Assumptions!$D$62</f>
        <v>1371150</v>
      </c>
      <c r="AB20" s="38" t="n">
        <f aca="false">Assumptions!$D$62</f>
        <v>1371150</v>
      </c>
      <c r="AC20" s="38" t="n">
        <f aca="false">Assumptions!$D$62</f>
        <v>1371150</v>
      </c>
      <c r="AD20" s="38" t="n">
        <f aca="false">Assumptions!$D$62</f>
        <v>1371150</v>
      </c>
      <c r="AE20" s="38" t="n">
        <f aca="false">Assumptions!$D$62</f>
        <v>1371150</v>
      </c>
      <c r="AF20" s="38" t="n">
        <f aca="false">Assumptions!$D$62</f>
        <v>1371150</v>
      </c>
      <c r="AG20" s="38" t="n">
        <f aca="false">Assumptions!$D$62</f>
        <v>1371150</v>
      </c>
      <c r="AH20" s="38" t="n">
        <f aca="false">Assumptions!$D$62</f>
        <v>1371150</v>
      </c>
      <c r="AI20" s="38" t="n">
        <f aca="false">Assumptions!$D$62</f>
        <v>1371150</v>
      </c>
      <c r="AJ20" s="38" t="n">
        <f aca="false">Assumptions!$D$62</f>
        <v>1371150</v>
      </c>
      <c r="AK20" s="38" t="n">
        <f aca="false">Assumptions!$D$62</f>
        <v>1371150</v>
      </c>
    </row>
    <row r="21" customFormat="false" ht="15" hidden="false" customHeight="true" outlineLevel="0" collapsed="false">
      <c r="A21" s="9" t="s">
        <v>328</v>
      </c>
      <c r="B21" s="12" t="n">
        <f aca="false">SUM(B18:B20)</f>
        <v>166950</v>
      </c>
      <c r="C21" s="12" t="n">
        <f aca="false">SUM(C18:C20)</f>
        <v>166950</v>
      </c>
      <c r="D21" s="12" t="n">
        <f aca="false">SUM(D18:D20)</f>
        <v>166950</v>
      </c>
      <c r="E21" s="12" t="n">
        <f aca="false">SUM(E18:E20)</f>
        <v>166950</v>
      </c>
      <c r="F21" s="12" t="n">
        <f aca="false">SUM(F18:F20)</f>
        <v>166950</v>
      </c>
      <c r="G21" s="12" t="n">
        <f aca="false">SUM(G18:G20)</f>
        <v>166950</v>
      </c>
      <c r="H21" s="12" t="n">
        <f aca="false">SUM(H18:H20)</f>
        <v>166950</v>
      </c>
      <c r="I21" s="12" t="n">
        <f aca="false">SUM(I18:I20)</f>
        <v>166950</v>
      </c>
      <c r="J21" s="12" t="n">
        <f aca="false">SUM(J18:J20)</f>
        <v>166950</v>
      </c>
      <c r="K21" s="12" t="n">
        <f aca="false">SUM(K18:K20)</f>
        <v>166950</v>
      </c>
      <c r="L21" s="12" t="n">
        <f aca="false">SUM(L18:L20)</f>
        <v>166950</v>
      </c>
      <c r="M21" s="12" t="n">
        <f aca="false">SUM(M18:M20)</f>
        <v>166950</v>
      </c>
      <c r="N21" s="12" t="n">
        <f aca="false">SUM(N18:N20)</f>
        <v>807450</v>
      </c>
      <c r="O21" s="12" t="n">
        <f aca="false">SUM(O18:O20)</f>
        <v>807450</v>
      </c>
      <c r="P21" s="12" t="n">
        <f aca="false">SUM(P18:P20)</f>
        <v>807450</v>
      </c>
      <c r="Q21" s="12" t="n">
        <f aca="false">SUM(Q18:Q20)</f>
        <v>807450</v>
      </c>
      <c r="R21" s="12" t="n">
        <f aca="false">SUM(R18:R20)</f>
        <v>807450</v>
      </c>
      <c r="S21" s="12" t="n">
        <f aca="false">SUM(S18:S20)</f>
        <v>807450</v>
      </c>
      <c r="T21" s="12" t="n">
        <f aca="false">SUM(T18:T20)</f>
        <v>807450</v>
      </c>
      <c r="U21" s="12" t="n">
        <f aca="false">SUM(U18:U20)</f>
        <v>807450</v>
      </c>
      <c r="V21" s="12" t="n">
        <f aca="false">SUM(V18:V20)</f>
        <v>807450</v>
      </c>
      <c r="W21" s="12" t="n">
        <f aca="false">SUM(W18:W20)</f>
        <v>807450</v>
      </c>
      <c r="X21" s="12" t="n">
        <f aca="false">SUM(X18:X20)</f>
        <v>807450</v>
      </c>
      <c r="Y21" s="12" t="n">
        <f aca="false">SUM(Y18:Y20)</f>
        <v>807450</v>
      </c>
      <c r="Z21" s="12" t="n">
        <f aca="false">SUM(Z18:Z20)</f>
        <v>3846150</v>
      </c>
      <c r="AA21" s="12" t="n">
        <f aca="false">SUM(AA18:AA20)</f>
        <v>3846150</v>
      </c>
      <c r="AB21" s="12" t="n">
        <f aca="false">SUM(AB18:AB20)</f>
        <v>3846150</v>
      </c>
      <c r="AC21" s="12" t="n">
        <f aca="false">SUM(AC18:AC20)</f>
        <v>3846150</v>
      </c>
      <c r="AD21" s="12" t="n">
        <f aca="false">SUM(AD18:AD20)</f>
        <v>3846150</v>
      </c>
      <c r="AE21" s="12" t="n">
        <f aca="false">SUM(AE18:AE20)</f>
        <v>3846150</v>
      </c>
      <c r="AF21" s="12" t="n">
        <f aca="false">SUM(AF18:AF20)</f>
        <v>3846150</v>
      </c>
      <c r="AG21" s="12" t="n">
        <f aca="false">SUM(AG18:AG20)</f>
        <v>3846150</v>
      </c>
      <c r="AH21" s="12" t="n">
        <f aca="false">SUM(AH18:AH20)</f>
        <v>3846150</v>
      </c>
      <c r="AI21" s="12" t="n">
        <f aca="false">SUM(AI18:AI20)</f>
        <v>3846150</v>
      </c>
      <c r="AJ21" s="12" t="n">
        <f aca="false">SUM(AJ18:AJ20)</f>
        <v>3846150</v>
      </c>
      <c r="AK21" s="12" t="n">
        <f aca="false">SUM(AK18:AK20)</f>
        <v>3846150</v>
      </c>
    </row>
    <row r="23" customFormat="false" ht="15" hidden="false" customHeight="true" outlineLevel="0" collapsed="false">
      <c r="A23" s="34" t="s">
        <v>329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customFormat="false" ht="15" hidden="false" customHeight="true" outlineLevel="0" collapsed="false">
      <c r="A24" s="5" t="s">
        <v>330</v>
      </c>
      <c r="B24" s="14" t="n">
        <f aca="false">B7*Assumptions!$B$66</f>
        <v>930.3</v>
      </c>
      <c r="C24" s="14" t="n">
        <f aca="false">C7*Assumptions!$B$66</f>
        <v>1727.7</v>
      </c>
      <c r="D24" s="14" t="n">
        <f aca="false">D7*Assumptions!$B$66</f>
        <v>2658</v>
      </c>
      <c r="E24" s="14" t="n">
        <f aca="false">E7*Assumptions!$B$66</f>
        <v>4385.7</v>
      </c>
      <c r="F24" s="14" t="n">
        <f aca="false">F7*Assumptions!$B$66</f>
        <v>6246.3</v>
      </c>
      <c r="G24" s="14" t="n">
        <f aca="false">G7*Assumptions!$B$66</f>
        <v>7974</v>
      </c>
      <c r="H24" s="14" t="n">
        <f aca="false">H7*Assumptions!$B$66</f>
        <v>9701.7</v>
      </c>
      <c r="I24" s="14" t="n">
        <f aca="false">I7*Assumptions!$B$66</f>
        <v>11562.3</v>
      </c>
      <c r="J24" s="14" t="n">
        <f aca="false">J7*Assumptions!$B$66</f>
        <v>13290</v>
      </c>
      <c r="K24" s="14" t="n">
        <f aca="false">K7*Assumptions!$B$66</f>
        <v>26580</v>
      </c>
      <c r="L24" s="14" t="n">
        <f aca="false">L7*Assumptions!$B$66</f>
        <v>39870</v>
      </c>
      <c r="M24" s="14" t="n">
        <f aca="false">M7*Assumptions!$B$66</f>
        <v>53160</v>
      </c>
      <c r="N24" s="14" t="n">
        <f aca="false">N7*Assumptions!$B$66</f>
        <v>76417.5</v>
      </c>
      <c r="O24" s="14" t="n">
        <f aca="false">O7*Assumptions!$B$66</f>
        <v>99675</v>
      </c>
      <c r="P24" s="14" t="n">
        <f aca="false">P7*Assumptions!$B$66</f>
        <v>122932.5</v>
      </c>
      <c r="Q24" s="14" t="n">
        <f aca="false">Q7*Assumptions!$B$66</f>
        <v>146190</v>
      </c>
      <c r="R24" s="14" t="n">
        <f aca="false">R7*Assumptions!$B$66</f>
        <v>169447.5</v>
      </c>
      <c r="S24" s="14" t="n">
        <f aca="false">S7*Assumptions!$B$66</f>
        <v>192705</v>
      </c>
      <c r="T24" s="14" t="n">
        <f aca="false">T7*Assumptions!$B$66</f>
        <v>215962.5</v>
      </c>
      <c r="U24" s="14" t="n">
        <f aca="false">U7*Assumptions!$B$66</f>
        <v>239220</v>
      </c>
      <c r="V24" s="14" t="n">
        <f aca="false">V7*Assumptions!$B$66</f>
        <v>262477.5</v>
      </c>
      <c r="W24" s="14" t="n">
        <f aca="false">W7*Assumptions!$B$66</f>
        <v>285735</v>
      </c>
      <c r="X24" s="14" t="n">
        <f aca="false">X7*Assumptions!$B$66</f>
        <v>308992.5</v>
      </c>
      <c r="Y24" s="14" t="n">
        <f aca="false">Y7*Assumptions!$B$66</f>
        <v>332250</v>
      </c>
      <c r="Z24" s="14" t="n">
        <f aca="false">Z7*Assumptions!$B$66</f>
        <v>423552.3</v>
      </c>
      <c r="AA24" s="14" t="n">
        <f aca="false">AA7*Assumptions!$B$66</f>
        <v>514854.6</v>
      </c>
      <c r="AB24" s="14" t="n">
        <f aca="false">AB7*Assumptions!$B$66</f>
        <v>606024</v>
      </c>
      <c r="AC24" s="14" t="n">
        <f aca="false">AC7*Assumptions!$B$66</f>
        <v>697326.3</v>
      </c>
      <c r="AD24" s="14" t="n">
        <f aca="false">AD7*Assumptions!$B$66</f>
        <v>788628.6</v>
      </c>
      <c r="AE24" s="14" t="n">
        <f aca="false">AE7*Assumptions!$B$66</f>
        <v>879930.9</v>
      </c>
      <c r="AF24" s="14" t="n">
        <f aca="false">AF7*Assumptions!$B$66</f>
        <v>971100.3</v>
      </c>
      <c r="AG24" s="14" t="n">
        <f aca="false">AG7*Assumptions!$B$66</f>
        <v>1062402.6</v>
      </c>
      <c r="AH24" s="14" t="n">
        <f aca="false">AH7*Assumptions!$B$66</f>
        <v>1153704.9</v>
      </c>
      <c r="AI24" s="14" t="n">
        <f aca="false">AI7*Assumptions!$B$66</f>
        <v>1245007.2</v>
      </c>
      <c r="AJ24" s="14" t="n">
        <f aca="false">AJ7*Assumptions!$B$66</f>
        <v>1336176.6</v>
      </c>
      <c r="AK24" s="14" t="n">
        <f aca="false">AK7*Assumptions!$B$66</f>
        <v>1427478.9</v>
      </c>
    </row>
    <row r="25" customFormat="false" ht="15" hidden="false" customHeight="true" outlineLevel="0" collapsed="false">
      <c r="A25" s="5" t="s">
        <v>331</v>
      </c>
      <c r="B25" s="14" t="n">
        <f aca="false">0</f>
        <v>0</v>
      </c>
      <c r="C25" s="14" t="n">
        <f aca="false">0</f>
        <v>0</v>
      </c>
      <c r="D25" s="14" t="n">
        <f aca="false">0</f>
        <v>0</v>
      </c>
      <c r="E25" s="14" t="n">
        <f aca="false">0</f>
        <v>0</v>
      </c>
      <c r="F25" s="14" t="n">
        <f aca="false">0</f>
        <v>0</v>
      </c>
      <c r="G25" s="14" t="n">
        <f aca="false">0</f>
        <v>0</v>
      </c>
      <c r="H25" s="14" t="n">
        <f aca="false">0</f>
        <v>0</v>
      </c>
      <c r="I25" s="14" t="n">
        <f aca="false">0</f>
        <v>0</v>
      </c>
      <c r="J25" s="14" t="n">
        <f aca="false">0</f>
        <v>0</v>
      </c>
      <c r="K25" s="14" t="n">
        <f aca="false">0</f>
        <v>0</v>
      </c>
      <c r="L25" s="14" t="n">
        <f aca="false">0</f>
        <v>0</v>
      </c>
      <c r="M25" s="14" t="n">
        <f aca="false">0</f>
        <v>0</v>
      </c>
      <c r="N25" s="39" t="n">
        <f aca="false">0</f>
        <v>0</v>
      </c>
      <c r="O25" s="39" t="n">
        <f aca="false">0</f>
        <v>0</v>
      </c>
      <c r="P25" s="39" t="n">
        <f aca="false">0</f>
        <v>0</v>
      </c>
      <c r="Q25" s="39" t="n">
        <f aca="false">0</f>
        <v>0</v>
      </c>
      <c r="R25" s="39" t="n">
        <f aca="false">0</f>
        <v>0</v>
      </c>
      <c r="S25" s="39" t="n">
        <f aca="false">0</f>
        <v>0</v>
      </c>
      <c r="T25" s="39" t="n">
        <f aca="false">0</f>
        <v>0</v>
      </c>
      <c r="U25" s="39" t="n">
        <f aca="false">0</f>
        <v>0</v>
      </c>
      <c r="V25" s="39" t="n">
        <f aca="false">0</f>
        <v>0</v>
      </c>
      <c r="W25" s="39" t="n">
        <f aca="false">0</f>
        <v>0</v>
      </c>
      <c r="X25" s="39" t="n">
        <f aca="false">0</f>
        <v>0</v>
      </c>
      <c r="Y25" s="39" t="n">
        <f aca="false">0</f>
        <v>0</v>
      </c>
      <c r="Z25" s="14" t="n">
        <f aca="false">Z7*Assumptions!$B$68</f>
        <v>352960.25</v>
      </c>
      <c r="AA25" s="14" t="n">
        <f aca="false">AA7*Assumptions!$B$68</f>
        <v>429045.5</v>
      </c>
      <c r="AB25" s="14" t="n">
        <f aca="false">AB7*Assumptions!$B$68</f>
        <v>505020</v>
      </c>
      <c r="AC25" s="14" t="n">
        <f aca="false">AC7*Assumptions!$B$68</f>
        <v>581105.25</v>
      </c>
      <c r="AD25" s="14" t="n">
        <f aca="false">AD7*Assumptions!$B$68</f>
        <v>657190.5</v>
      </c>
      <c r="AE25" s="14" t="n">
        <f aca="false">AE7*Assumptions!$B$68</f>
        <v>733275.75</v>
      </c>
      <c r="AF25" s="14" t="n">
        <f aca="false">AF7*Assumptions!$B$68</f>
        <v>809250.25</v>
      </c>
      <c r="AG25" s="14" t="n">
        <f aca="false">AG7*Assumptions!$B$68</f>
        <v>885335.5</v>
      </c>
      <c r="AH25" s="14" t="n">
        <f aca="false">AH7*Assumptions!$B$68</f>
        <v>961420.75</v>
      </c>
      <c r="AI25" s="14" t="n">
        <f aca="false">AI7*Assumptions!$B$68</f>
        <v>1037506</v>
      </c>
      <c r="AJ25" s="14" t="n">
        <f aca="false">AJ7*Assumptions!$B$68</f>
        <v>1113480.5</v>
      </c>
      <c r="AK25" s="14" t="n">
        <f aca="false">AK7*Assumptions!$B$68</f>
        <v>1189565.75</v>
      </c>
    </row>
    <row r="26" customFormat="false" ht="15" hidden="false" customHeight="true" outlineLevel="0" collapsed="false">
      <c r="A26" s="9" t="s">
        <v>332</v>
      </c>
      <c r="B26" s="12" t="n">
        <f aca="false">B24+B25</f>
        <v>930.3</v>
      </c>
      <c r="C26" s="12" t="n">
        <f aca="false">C24+C25</f>
        <v>1727.7</v>
      </c>
      <c r="D26" s="12" t="n">
        <f aca="false">D24+D25</f>
        <v>2658</v>
      </c>
      <c r="E26" s="12" t="n">
        <f aca="false">E24+E25</f>
        <v>4385.7</v>
      </c>
      <c r="F26" s="12" t="n">
        <f aca="false">F24+F25</f>
        <v>6246.3</v>
      </c>
      <c r="G26" s="12" t="n">
        <f aca="false">G24+G25</f>
        <v>7974</v>
      </c>
      <c r="H26" s="12" t="n">
        <f aca="false">H24+H25</f>
        <v>9701.7</v>
      </c>
      <c r="I26" s="12" t="n">
        <f aca="false">I24+I25</f>
        <v>11562.3</v>
      </c>
      <c r="J26" s="12" t="n">
        <f aca="false">J24+J25</f>
        <v>13290</v>
      </c>
      <c r="K26" s="12" t="n">
        <f aca="false">K24+K25</f>
        <v>26580</v>
      </c>
      <c r="L26" s="12" t="n">
        <f aca="false">L24+L25</f>
        <v>39870</v>
      </c>
      <c r="M26" s="12" t="n">
        <f aca="false">M24+M25</f>
        <v>53160</v>
      </c>
      <c r="N26" s="12" t="n">
        <f aca="false">N24+N25</f>
        <v>76417.5</v>
      </c>
      <c r="O26" s="12" t="n">
        <f aca="false">O24+O25</f>
        <v>99675</v>
      </c>
      <c r="P26" s="12" t="n">
        <f aca="false">P24+P25</f>
        <v>122932.5</v>
      </c>
      <c r="Q26" s="12" t="n">
        <f aca="false">Q24+Q25</f>
        <v>146190</v>
      </c>
      <c r="R26" s="12" t="n">
        <f aca="false">R24+R25</f>
        <v>169447.5</v>
      </c>
      <c r="S26" s="12" t="n">
        <f aca="false">S24+S25</f>
        <v>192705</v>
      </c>
      <c r="T26" s="12" t="n">
        <f aca="false">T24+T25</f>
        <v>215962.5</v>
      </c>
      <c r="U26" s="12" t="n">
        <f aca="false">U24+U25</f>
        <v>239220</v>
      </c>
      <c r="V26" s="12" t="n">
        <f aca="false">V24+V25</f>
        <v>262477.5</v>
      </c>
      <c r="W26" s="12" t="n">
        <f aca="false">W24+W25</f>
        <v>285735</v>
      </c>
      <c r="X26" s="12" t="n">
        <f aca="false">X24+X25</f>
        <v>308992.5</v>
      </c>
      <c r="Y26" s="12" t="n">
        <f aca="false">Y24+Y25</f>
        <v>332250</v>
      </c>
      <c r="Z26" s="12" t="n">
        <f aca="false">Z24+Z25</f>
        <v>776512.55</v>
      </c>
      <c r="AA26" s="12" t="n">
        <f aca="false">AA24+AA25</f>
        <v>943900.1</v>
      </c>
      <c r="AB26" s="12" t="n">
        <f aca="false">AB24+AB25</f>
        <v>1111044</v>
      </c>
      <c r="AC26" s="12" t="n">
        <f aca="false">AC24+AC25</f>
        <v>1278431.55</v>
      </c>
      <c r="AD26" s="12" t="n">
        <f aca="false">AD24+AD25</f>
        <v>1445819.1</v>
      </c>
      <c r="AE26" s="12" t="n">
        <f aca="false">AE24+AE25</f>
        <v>1613206.65</v>
      </c>
      <c r="AF26" s="12" t="n">
        <f aca="false">AF24+AF25</f>
        <v>1780350.55</v>
      </c>
      <c r="AG26" s="12" t="n">
        <f aca="false">AG24+AG25</f>
        <v>1947738.1</v>
      </c>
      <c r="AH26" s="12" t="n">
        <f aca="false">AH24+AH25</f>
        <v>2115125.65</v>
      </c>
      <c r="AI26" s="12" t="n">
        <f aca="false">AI24+AI25</f>
        <v>2282513.2</v>
      </c>
      <c r="AJ26" s="12" t="n">
        <f aca="false">AJ24+AJ25</f>
        <v>2449657.1</v>
      </c>
      <c r="AK26" s="12" t="n">
        <f aca="false">AK24+AK25</f>
        <v>2617044.65</v>
      </c>
    </row>
    <row r="28" customFormat="false" ht="15" hidden="false" customHeight="true" outlineLevel="0" collapsed="false">
      <c r="A28" s="34" t="s">
        <v>333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 customFormat="false" ht="15" hidden="false" customHeight="true" outlineLevel="0" collapsed="false">
      <c r="A29" s="9" t="s">
        <v>334</v>
      </c>
      <c r="B29" s="13" t="n">
        <f aca="false">B13+B21+B26</f>
        <v>172903.675</v>
      </c>
      <c r="C29" s="13" t="n">
        <f aca="false">C13+C21+C26</f>
        <v>178006.825</v>
      </c>
      <c r="D29" s="13" t="n">
        <f aca="false">D13+D21+D26</f>
        <v>183960.5</v>
      </c>
      <c r="E29" s="13" t="n">
        <f aca="false">E13+E21+E26</f>
        <v>195017.325</v>
      </c>
      <c r="F29" s="13" t="n">
        <f aca="false">F13+F21+F26</f>
        <v>206924.675</v>
      </c>
      <c r="G29" s="13" t="n">
        <f aca="false">G13+G21+G26</f>
        <v>217981.5</v>
      </c>
      <c r="H29" s="13" t="n">
        <f aca="false">H13+H21+H26</f>
        <v>229038.325</v>
      </c>
      <c r="I29" s="13" t="n">
        <f aca="false">I13+I21+I26</f>
        <v>240945.675</v>
      </c>
      <c r="J29" s="13" t="n">
        <f aca="false">J13+J21+J26</f>
        <v>252002.5</v>
      </c>
      <c r="K29" s="13" t="n">
        <f aca="false">K13+K21+K26</f>
        <v>337055</v>
      </c>
      <c r="L29" s="13" t="n">
        <f aca="false">L13+L21+L26</f>
        <v>422107.5</v>
      </c>
      <c r="M29" s="13" t="n">
        <f aca="false">M13+M21+M26</f>
        <v>507160</v>
      </c>
      <c r="N29" s="13" t="n">
        <f aca="false">N13+N21+N26</f>
        <v>1296501.875</v>
      </c>
      <c r="O29" s="13" t="n">
        <f aca="false">O13+O21+O26</f>
        <v>1445343.75</v>
      </c>
      <c r="P29" s="13" t="n">
        <f aca="false">P13+P21+P26</f>
        <v>1594185.625</v>
      </c>
      <c r="Q29" s="13" t="n">
        <f aca="false">Q13+Q21+Q26</f>
        <v>1743027.5</v>
      </c>
      <c r="R29" s="13" t="n">
        <f aca="false">R13+R21+R26</f>
        <v>1891869.375</v>
      </c>
      <c r="S29" s="13" t="n">
        <f aca="false">S13+S21+S26</f>
        <v>2040711.25</v>
      </c>
      <c r="T29" s="13" t="n">
        <f aca="false">T13+T21+T26</f>
        <v>2189553.125</v>
      </c>
      <c r="U29" s="13" t="n">
        <f aca="false">U13+U21+U26</f>
        <v>2338395</v>
      </c>
      <c r="V29" s="13" t="n">
        <f aca="false">V13+V21+V26</f>
        <v>2487236.875</v>
      </c>
      <c r="W29" s="13" t="n">
        <f aca="false">W13+W21+W26</f>
        <v>2636078.75</v>
      </c>
      <c r="X29" s="13" t="n">
        <f aca="false">X13+X21+X26</f>
        <v>2784920.625</v>
      </c>
      <c r="Y29" s="13" t="n">
        <f aca="false">Y13+Y21+Y26</f>
        <v>2933762.5</v>
      </c>
      <c r="Z29" s="13" t="n">
        <f aca="false">Z13+Z21+Z26</f>
        <v>6909733.425</v>
      </c>
      <c r="AA29" s="13" t="n">
        <f aca="false">AA13+AA21+AA26</f>
        <v>7570129.35</v>
      </c>
      <c r="AB29" s="13" t="n">
        <f aca="false">AB13+AB21+AB26</f>
        <v>8229564</v>
      </c>
      <c r="AC29" s="13" t="n">
        <f aca="false">AC13+AC21+AC26</f>
        <v>8889959.925</v>
      </c>
      <c r="AD29" s="13" t="n">
        <f aca="false">AD13+AD21+AD26</f>
        <v>9550355.85</v>
      </c>
      <c r="AE29" s="13" t="n">
        <f aca="false">AE13+AE21+AE26</f>
        <v>10210751.775</v>
      </c>
      <c r="AF29" s="13" t="n">
        <f aca="false">AF13+AF21+AF26</f>
        <v>10870186.425</v>
      </c>
      <c r="AG29" s="13" t="n">
        <f aca="false">AG13+AG21+AG26</f>
        <v>11530582.35</v>
      </c>
      <c r="AH29" s="13" t="n">
        <f aca="false">AH13+AH21+AH26</f>
        <v>12190978.275</v>
      </c>
      <c r="AI29" s="13" t="n">
        <f aca="false">AI13+AI21+AI26</f>
        <v>12851374.2</v>
      </c>
      <c r="AJ29" s="13" t="n">
        <f aca="false">AJ13+AJ21+AJ26</f>
        <v>13510808.85</v>
      </c>
      <c r="AK29" s="13" t="n">
        <f aca="false">AK13+AK21+AK26</f>
        <v>14171204.775</v>
      </c>
    </row>
    <row r="30" customFormat="false" ht="15" hidden="false" customHeight="true" outlineLevel="0" collapsed="false">
      <c r="A30" s="9" t="s">
        <v>335</v>
      </c>
      <c r="B30" s="40" t="n">
        <f aca="false">B7-B29</f>
        <v>-157398.675</v>
      </c>
      <c r="C30" s="40" t="n">
        <f aca="false">C7-C29</f>
        <v>-149211.825</v>
      </c>
      <c r="D30" s="40" t="n">
        <f aca="false">D7-D29</f>
        <v>-139660.5</v>
      </c>
      <c r="E30" s="40" t="n">
        <f aca="false">E7-E29</f>
        <v>-121922.325</v>
      </c>
      <c r="F30" s="40" t="n">
        <f aca="false">F7-F29</f>
        <v>-102819.675</v>
      </c>
      <c r="G30" s="40" t="n">
        <f aca="false">G7-G29</f>
        <v>-85081.5</v>
      </c>
      <c r="H30" s="40" t="n">
        <f aca="false">H7-H29</f>
        <v>-67343.325</v>
      </c>
      <c r="I30" s="40" t="n">
        <f aca="false">I7-I29</f>
        <v>-48240.675</v>
      </c>
      <c r="J30" s="40" t="n">
        <f aca="false">J7-J29</f>
        <v>-30502.5</v>
      </c>
      <c r="K30" s="40" t="n">
        <f aca="false">K7-K29</f>
        <v>105945</v>
      </c>
      <c r="L30" s="40" t="n">
        <f aca="false">L7-L29</f>
        <v>242392.5</v>
      </c>
      <c r="M30" s="40" t="n">
        <f aca="false">M7-M29</f>
        <v>378840</v>
      </c>
      <c r="N30" s="40" t="n">
        <f aca="false">N7-N29</f>
        <v>-22876.875</v>
      </c>
      <c r="O30" s="40" t="n">
        <f aca="false">O7-O29</f>
        <v>215906.25</v>
      </c>
      <c r="P30" s="40" t="n">
        <f aca="false">P7-P29</f>
        <v>454689.375</v>
      </c>
      <c r="Q30" s="40" t="n">
        <f aca="false">Q7-Q29</f>
        <v>693472.5</v>
      </c>
      <c r="R30" s="40" t="n">
        <f aca="false">R7-R29</f>
        <v>932255.625</v>
      </c>
      <c r="S30" s="40" t="n">
        <f aca="false">S7-S29</f>
        <v>1171038.75</v>
      </c>
      <c r="T30" s="40" t="n">
        <f aca="false">T7-T29</f>
        <v>1409821.875</v>
      </c>
      <c r="U30" s="40" t="n">
        <f aca="false">U7-U29</f>
        <v>1648605</v>
      </c>
      <c r="V30" s="40" t="n">
        <f aca="false">V7-V29</f>
        <v>1887388.125</v>
      </c>
      <c r="W30" s="40" t="n">
        <f aca="false">W7-W29</f>
        <v>2126171.25</v>
      </c>
      <c r="X30" s="40" t="n">
        <f aca="false">X7-X29</f>
        <v>2364954.375</v>
      </c>
      <c r="Y30" s="40" t="n">
        <f aca="false">Y7-Y29</f>
        <v>2603737.5</v>
      </c>
      <c r="Z30" s="40" t="n">
        <f aca="false">Z7-Z29</f>
        <v>149471.575</v>
      </c>
      <c r="AA30" s="40" t="n">
        <f aca="false">AA7-AA29</f>
        <v>1010780.65</v>
      </c>
      <c r="AB30" s="40" t="n">
        <f aca="false">AB7-AB29</f>
        <v>1870836</v>
      </c>
      <c r="AC30" s="40" t="n">
        <f aca="false">AC7-AC29</f>
        <v>2732145.075</v>
      </c>
      <c r="AD30" s="40" t="n">
        <f aca="false">AD7-AD29</f>
        <v>3593454.15</v>
      </c>
      <c r="AE30" s="40" t="n">
        <f aca="false">AE7-AE29</f>
        <v>4454763.225</v>
      </c>
      <c r="AF30" s="40" t="n">
        <f aca="false">AF7-AF29</f>
        <v>5314818.575</v>
      </c>
      <c r="AG30" s="40" t="n">
        <f aca="false">AG7-AG29</f>
        <v>6176127.65</v>
      </c>
      <c r="AH30" s="40" t="n">
        <f aca="false">AH7-AH29</f>
        <v>7037436.725</v>
      </c>
      <c r="AI30" s="40" t="n">
        <f aca="false">AI7-AI29</f>
        <v>7898745.8</v>
      </c>
      <c r="AJ30" s="40" t="n">
        <f aca="false">AJ7-AJ29</f>
        <v>8758801.15</v>
      </c>
      <c r="AK30" s="40" t="n">
        <f aca="false">AK7-AK29</f>
        <v>9620110.225</v>
      </c>
    </row>
    <row r="31" customFormat="false" ht="15" hidden="false" customHeight="true" outlineLevel="0" collapsed="false">
      <c r="A31" s="5" t="s">
        <v>336</v>
      </c>
      <c r="B31" s="37" t="n">
        <f aca="false">IF(B7=0,0,B30/B7)</f>
        <v>-10.1514785553047</v>
      </c>
      <c r="C31" s="37" t="n">
        <f aca="false">IF(C7=0,0,C30/C7)</f>
        <v>-5.18186577530821</v>
      </c>
      <c r="D31" s="37" t="n">
        <f aca="false">IF(D7=0,0,D30/D7)</f>
        <v>-3.1526072234763</v>
      </c>
      <c r="E31" s="37" t="n">
        <f aca="false">IF(E7=0,0,E30/E7)</f>
        <v>-1.66799815308845</v>
      </c>
      <c r="F31" s="37" t="n">
        <f aca="false">IF(F7=0,0,F30/F7)</f>
        <v>-0.987653570913981</v>
      </c>
      <c r="G31" s="37" t="n">
        <f aca="false">IF(G7=0,0,G30/G7)</f>
        <v>-0.640191873589165</v>
      </c>
      <c r="H31" s="37" t="n">
        <f aca="false">IF(H7=0,0,H30/H7)</f>
        <v>-0.416483657503324</v>
      </c>
      <c r="I31" s="37" t="n">
        <f aca="false">IF(I7=0,0,I30/I7)</f>
        <v>-0.250334319296334</v>
      </c>
      <c r="J31" s="37" t="n">
        <f aca="false">IF(J7=0,0,J30/J7)</f>
        <v>-0.137708803611738</v>
      </c>
      <c r="K31" s="37" t="n">
        <f aca="false">IF(K7=0,0,K30/K7)</f>
        <v>0.239153498871332</v>
      </c>
      <c r="L31" s="37" t="n">
        <f aca="false">IF(L7=0,0,L30/L7)</f>
        <v>0.364774266365689</v>
      </c>
      <c r="M31" s="37" t="n">
        <f aca="false">IF(M7=0,0,M30/M7)</f>
        <v>0.427584650112867</v>
      </c>
      <c r="N31" s="37" t="n">
        <f aca="false">IF(N7=0,0,N30/N7)</f>
        <v>-0.0179620178624006</v>
      </c>
      <c r="O31" s="37" t="n">
        <f aca="false">IF(O7=0,0,O30/O7)</f>
        <v>0.129966139954853</v>
      </c>
      <c r="P31" s="37" t="n">
        <f aca="false">IF(P7=0,0,P30/P7)</f>
        <v>0.221921481300714</v>
      </c>
      <c r="Q31" s="37" t="n">
        <f aca="false">IF(Q7=0,0,Q30/Q7)</f>
        <v>0.284618304945619</v>
      </c>
      <c r="R31" s="37" t="n">
        <f aca="false">IF(R7=0,0,R30/R7)</f>
        <v>0.330104235825256</v>
      </c>
      <c r="S31" s="37" t="n">
        <f aca="false">IF(S7=0,0,S30/S7)</f>
        <v>0.364610804078773</v>
      </c>
      <c r="T31" s="37" t="n">
        <f aca="false">IF(T7=0,0,T30/T7)</f>
        <v>0.391685188400764</v>
      </c>
      <c r="U31" s="37" t="n">
        <f aca="false">IF(U7=0,0,U30/U7)</f>
        <v>0.41349510910459</v>
      </c>
      <c r="V31" s="37" t="n">
        <f aca="false">IF(V7=0,0,V30/V7)</f>
        <v>0.431439980569763</v>
      </c>
      <c r="W31" s="37" t="n">
        <f aca="false">IF(W7=0,0,W30/W7)</f>
        <v>0.446463593889443</v>
      </c>
      <c r="X31" s="37" t="n">
        <f aca="false">IF(X7=0,0,X30/X7)</f>
        <v>0.459225587999709</v>
      </c>
      <c r="Y31" s="37" t="n">
        <f aca="false">IF(Y7=0,0,Y30/Y7)</f>
        <v>0.470200902934537</v>
      </c>
      <c r="Z31" s="37" t="n">
        <f aca="false">IF(Z7=0,0,Z30/Z7)</f>
        <v>0.0211739955136591</v>
      </c>
      <c r="AA31" s="37" t="n">
        <f aca="false">IF(AA7=0,0,AA30/AA7)</f>
        <v>0.117794109249485</v>
      </c>
      <c r="AB31" s="37" t="n">
        <f aca="false">IF(AB7=0,0,AB30/AB7)</f>
        <v>0.185223951526672</v>
      </c>
      <c r="AC31" s="37" t="n">
        <f aca="false">IF(AC7=0,0,AC30/AC7)</f>
        <v>0.235081775203373</v>
      </c>
      <c r="AD31" s="37" t="n">
        <f aca="false">IF(AD7=0,0,AD30/AD7)</f>
        <v>0.273395168524195</v>
      </c>
      <c r="AE31" s="37" t="n">
        <f aca="false">IF(AE7=0,0,AE30/AE7)</f>
        <v>0.303757708133673</v>
      </c>
      <c r="AF31" s="37" t="n">
        <f aca="false">IF(AF7=0,0,AF30/AF7)</f>
        <v>0.328379174118266</v>
      </c>
      <c r="AG31" s="37" t="n">
        <f aca="false">IF(AG7=0,0,AG30/AG7)</f>
        <v>0.34880153625377</v>
      </c>
      <c r="AH31" s="37" t="n">
        <f aca="false">IF(AH7=0,0,AH30/AH7)</f>
        <v>0.365991514381191</v>
      </c>
      <c r="AI31" s="37" t="n">
        <f aca="false">IF(AI7=0,0,AI30/AI7)</f>
        <v>0.380660246784115</v>
      </c>
      <c r="AJ31" s="37" t="n">
        <f aca="false">IF(AJ7=0,0,AJ30/AJ7)</f>
        <v>0.393307343505342</v>
      </c>
      <c r="AK31" s="37" t="n">
        <f aca="false">IF(AK7=0,0,AK30/AK7)</f>
        <v>0.404353867156986</v>
      </c>
    </row>
    <row r="33" customFormat="false" ht="15" hidden="false" customHeight="true" outlineLevel="0" collapsed="false">
      <c r="A33" s="9" t="s">
        <v>337</v>
      </c>
      <c r="B33" s="41" t="n">
        <f aca="false">Assumptions!$B$72+B30</f>
        <v>842601.325</v>
      </c>
      <c r="C33" s="41" t="n">
        <f aca="false">B33+C30</f>
        <v>693389.5</v>
      </c>
      <c r="D33" s="41" t="n">
        <f aca="false">C33+D30</f>
        <v>553729</v>
      </c>
      <c r="E33" s="41" t="n">
        <f aca="false">D33+E30</f>
        <v>431806.675</v>
      </c>
      <c r="F33" s="41" t="n">
        <f aca="false">E33+F30</f>
        <v>328987</v>
      </c>
      <c r="G33" s="41" t="n">
        <f aca="false">F33+G30</f>
        <v>243905.5</v>
      </c>
      <c r="H33" s="41" t="n">
        <f aca="false">G33+H30</f>
        <v>176562.175</v>
      </c>
      <c r="I33" s="41" t="n">
        <f aca="false">H33+I30</f>
        <v>128321.5</v>
      </c>
      <c r="J33" s="41" t="n">
        <f aca="false">I33+J30</f>
        <v>97819</v>
      </c>
      <c r="K33" s="41" t="n">
        <f aca="false">J33+K30</f>
        <v>203764</v>
      </c>
      <c r="L33" s="41" t="n">
        <f aca="false">K33+L30</f>
        <v>446156.5</v>
      </c>
      <c r="M33" s="41" t="n">
        <f aca="false">L33+M30</f>
        <v>824996.5</v>
      </c>
      <c r="N33" s="41" t="n">
        <f aca="false">M33+N30</f>
        <v>802119.625</v>
      </c>
      <c r="O33" s="41" t="n">
        <f aca="false">N33+O30</f>
        <v>1018025.875</v>
      </c>
      <c r="P33" s="41" t="n">
        <f aca="false">O33+P30</f>
        <v>1472715.25</v>
      </c>
      <c r="Q33" s="41" t="n">
        <f aca="false">P33+Q30</f>
        <v>2166187.75</v>
      </c>
      <c r="R33" s="41" t="n">
        <f aca="false">Q33+R30</f>
        <v>3098443.375</v>
      </c>
      <c r="S33" s="41" t="n">
        <f aca="false">R33+S30</f>
        <v>4269482.125</v>
      </c>
      <c r="T33" s="41" t="n">
        <f aca="false">S33+T30</f>
        <v>5679304</v>
      </c>
      <c r="U33" s="41" t="n">
        <f aca="false">T33+U30</f>
        <v>7327909</v>
      </c>
      <c r="V33" s="41" t="n">
        <f aca="false">U33+V30</f>
        <v>9215297.125</v>
      </c>
      <c r="W33" s="41" t="n">
        <f aca="false">V33+W30</f>
        <v>11341468.375</v>
      </c>
      <c r="X33" s="41" t="n">
        <f aca="false">W33+X30</f>
        <v>13706422.75</v>
      </c>
      <c r="Y33" s="41" t="n">
        <f aca="false">X33+Y30</f>
        <v>16310160.25</v>
      </c>
      <c r="Z33" s="41" t="n">
        <f aca="false">Y33+Z30</f>
        <v>16459631.825</v>
      </c>
      <c r="AA33" s="41" t="n">
        <f aca="false">Z33+AA30</f>
        <v>17470412.475</v>
      </c>
      <c r="AB33" s="41" t="n">
        <f aca="false">AA33+AB30</f>
        <v>19341248.475</v>
      </c>
      <c r="AC33" s="41" t="n">
        <f aca="false">AB33+AC30</f>
        <v>22073393.55</v>
      </c>
      <c r="AD33" s="41" t="n">
        <f aca="false">AC33+AD30</f>
        <v>25666847.7</v>
      </c>
      <c r="AE33" s="41" t="n">
        <f aca="false">AD33+AE30</f>
        <v>30121610.925</v>
      </c>
      <c r="AF33" s="41" t="n">
        <f aca="false">AE33+AF30</f>
        <v>35436429.5</v>
      </c>
      <c r="AG33" s="41" t="n">
        <f aca="false">AF33+AG30</f>
        <v>41612557.15</v>
      </c>
      <c r="AH33" s="41" t="n">
        <f aca="false">AG33+AH30</f>
        <v>48649993.875</v>
      </c>
      <c r="AI33" s="41" t="n">
        <f aca="false">AH33+AI30</f>
        <v>56548739.675</v>
      </c>
      <c r="AJ33" s="41" t="n">
        <f aca="false">AI33+AJ30</f>
        <v>65307540.825</v>
      </c>
      <c r="AK33" s="41" t="n">
        <f aca="false">AJ33+AK30</f>
        <v>74927651.05</v>
      </c>
    </row>
  </sheetData>
  <mergeCells count="6">
    <mergeCell ref="A1:AM1"/>
    <mergeCell ref="A5:AK5"/>
    <mergeCell ref="A9:AK9"/>
    <mergeCell ref="A17:AK17"/>
    <mergeCell ref="A23:AK23"/>
    <mergeCell ref="A28:A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8"/>
  </cols>
  <sheetData>
    <row r="1" customFormat="false" ht="27.75" hidden="false" customHeight="true" outlineLevel="0" collapsed="false">
      <c r="A1" s="1" t="s">
        <v>338</v>
      </c>
      <c r="B1" s="1"/>
      <c r="C1" s="1"/>
      <c r="D1" s="1"/>
      <c r="E1" s="1"/>
    </row>
    <row r="3" customFormat="false" ht="15" hidden="false" customHeight="true" outlineLevel="0" collapsed="false">
      <c r="A3" s="4" t="s">
        <v>339</v>
      </c>
      <c r="B3" s="4" t="s">
        <v>340</v>
      </c>
      <c r="C3" s="4" t="s">
        <v>341</v>
      </c>
      <c r="D3" s="4" t="s">
        <v>342</v>
      </c>
      <c r="E3" s="4" t="s">
        <v>343</v>
      </c>
    </row>
    <row r="4" customFormat="false" ht="15" hidden="false" customHeight="true" outlineLevel="0" collapsed="false">
      <c r="A4" s="5" t="s">
        <v>344</v>
      </c>
      <c r="B4" s="42" t="n">
        <f aca="false">'P&amp;L Monthly'!M6</f>
        <v>400</v>
      </c>
      <c r="C4" s="42" t="n">
        <f aca="false">'P&amp;L Monthly'!Y6</f>
        <v>2500</v>
      </c>
      <c r="D4" s="42" t="n">
        <f aca="false">'P&amp;L Monthly'!AK6</f>
        <v>10741</v>
      </c>
      <c r="E4" s="35" t="n">
        <f aca="false">D4</f>
        <v>10741</v>
      </c>
    </row>
    <row r="5" customFormat="false" ht="15" hidden="false" customHeight="true" outlineLevel="0" collapsed="false">
      <c r="A5" s="5" t="s">
        <v>345</v>
      </c>
      <c r="B5" s="38" t="n">
        <f aca="false">SUM('P&amp;L Monthly'!B7:M7)</f>
        <v>2968100</v>
      </c>
      <c r="C5" s="38" t="n">
        <f aca="false">SUM('P&amp;L Monthly'!N7:Y7)</f>
        <v>40866750</v>
      </c>
      <c r="D5" s="38" t="n">
        <f aca="false">SUM('P&amp;L Monthly'!Z7:AK7)</f>
        <v>185103120</v>
      </c>
      <c r="E5" s="14" t="n">
        <f aca="false">SUM(B5:D5)</f>
        <v>228937970</v>
      </c>
    </row>
    <row r="6" customFormat="false" ht="15" hidden="false" customHeight="true" outlineLevel="0" collapsed="false">
      <c r="A6" s="5" t="s">
        <v>318</v>
      </c>
      <c r="B6" s="38" t="n">
        <f aca="false">SUM('P&amp;L Monthly'!B10:M10)</f>
        <v>442200</v>
      </c>
      <c r="C6" s="38" t="n">
        <f aca="false">SUM('P&amp;L Monthly'!N10:Y10)</f>
        <v>6088500</v>
      </c>
      <c r="D6" s="38" t="n">
        <f aca="false">SUM('P&amp;L Monthly'!Z10:AK10)</f>
        <v>27577440</v>
      </c>
      <c r="E6" s="14" t="n">
        <f aca="false">SUM(B6:D6)</f>
        <v>34108140</v>
      </c>
    </row>
    <row r="7" customFormat="false" ht="15" hidden="false" customHeight="true" outlineLevel="0" collapsed="false">
      <c r="A7" s="5" t="s">
        <v>346</v>
      </c>
      <c r="B7" s="38" t="n">
        <f aca="false">SUM('P&amp;L Monthly'!B11:M11)</f>
        <v>74202.5</v>
      </c>
      <c r="C7" s="38" t="n">
        <f aca="false">SUM('P&amp;L Monthly'!N11:Y11)</f>
        <v>1021668.75</v>
      </c>
      <c r="D7" s="38" t="n">
        <f aca="false">SUM('P&amp;L Monthly'!Z11:AK11)</f>
        <v>4627578</v>
      </c>
      <c r="E7" s="14" t="n">
        <f aca="false">SUM(B7:D7)</f>
        <v>5723449.25</v>
      </c>
    </row>
    <row r="8" customFormat="false" ht="15" hidden="false" customHeight="true" outlineLevel="0" collapsed="false">
      <c r="A8" s="5" t="s">
        <v>347</v>
      </c>
      <c r="B8" s="38" t="n">
        <f aca="false">SUM('P&amp;L Monthly'!B12:M12)</f>
        <v>445215</v>
      </c>
      <c r="C8" s="38" t="n">
        <f aca="false">SUM('P&amp;L Monthly'!N12:Y12)</f>
        <v>6130012.5</v>
      </c>
      <c r="D8" s="38" t="n">
        <f aca="false">SUM('P&amp;L Monthly'!Z12:AK12)</f>
        <v>27765468</v>
      </c>
      <c r="E8" s="14" t="n">
        <f aca="false">SUM(B8:D8)</f>
        <v>34340695.5</v>
      </c>
    </row>
    <row r="9" customFormat="false" ht="15" hidden="false" customHeight="true" outlineLevel="0" collapsed="false">
      <c r="A9" s="43" t="s">
        <v>321</v>
      </c>
      <c r="B9" s="44" t="n">
        <f aca="false">SUM('P&amp;L Monthly'!B13:M13)</f>
        <v>961617.5</v>
      </c>
      <c r="C9" s="44" t="n">
        <f aca="false">SUM('P&amp;L Monthly'!N13:Y13)</f>
        <v>13240181.25</v>
      </c>
      <c r="D9" s="44" t="n">
        <f aca="false">SUM('P&amp;L Monthly'!Z13:AK13)</f>
        <v>59970486</v>
      </c>
      <c r="E9" s="12" t="n">
        <f aca="false">SUM(B9:D9)</f>
        <v>74172284.75</v>
      </c>
    </row>
    <row r="10" customFormat="false" ht="15" hidden="false" customHeight="true" outlineLevel="0" collapsed="false">
      <c r="A10" s="43" t="s">
        <v>322</v>
      </c>
      <c r="B10" s="44" t="n">
        <f aca="false">SUM('P&amp;L Monthly'!B14:M14)</f>
        <v>2006482.5</v>
      </c>
      <c r="C10" s="44" t="n">
        <f aca="false">SUM('P&amp;L Monthly'!N14:Y14)</f>
        <v>27626568.75</v>
      </c>
      <c r="D10" s="44" t="n">
        <f aca="false">SUM('P&amp;L Monthly'!Z14:AK14)</f>
        <v>125132634</v>
      </c>
      <c r="E10" s="12" t="n">
        <f aca="false">SUM(B10:D10)</f>
        <v>154765685.25</v>
      </c>
    </row>
    <row r="11" customFormat="false" ht="15" hidden="false" customHeight="true" outlineLevel="0" collapsed="false">
      <c r="A11" s="5" t="s">
        <v>325</v>
      </c>
      <c r="B11" s="38" t="n">
        <f aca="false">SUM('P&amp;L Monthly'!B18:M18)</f>
        <v>684000</v>
      </c>
      <c r="C11" s="38" t="n">
        <f aca="false">SUM('P&amp;L Monthly'!N18:Y18)</f>
        <v>2364000</v>
      </c>
      <c r="D11" s="38" t="n">
        <f aca="false">SUM('P&amp;L Monthly'!Z18:AK18)</f>
        <v>7380000</v>
      </c>
      <c r="E11" s="14" t="n">
        <f aca="false">SUM(B11:D11)</f>
        <v>10428000</v>
      </c>
    </row>
    <row r="12" customFormat="false" ht="15" hidden="false" customHeight="true" outlineLevel="0" collapsed="false">
      <c r="A12" s="5" t="s">
        <v>326</v>
      </c>
      <c r="B12" s="38" t="n">
        <f aca="false">SUM('P&amp;L Monthly'!B19:M19)</f>
        <v>768000</v>
      </c>
      <c r="C12" s="38" t="n">
        <f aca="false">SUM('P&amp;L Monthly'!N19:Y19)</f>
        <v>3480000</v>
      </c>
      <c r="D12" s="38" t="n">
        <f aca="false">SUM('P&amp;L Monthly'!Z19:AK19)</f>
        <v>22320000</v>
      </c>
      <c r="E12" s="14" t="n">
        <f aca="false">SUM(B12:D12)</f>
        <v>26568000</v>
      </c>
    </row>
    <row r="13" customFormat="false" ht="15" hidden="false" customHeight="true" outlineLevel="0" collapsed="false">
      <c r="A13" s="5" t="s">
        <v>327</v>
      </c>
      <c r="B13" s="38" t="n">
        <f aca="false">SUM('P&amp;L Monthly'!B20:M20)</f>
        <v>551400</v>
      </c>
      <c r="C13" s="38" t="n">
        <f aca="false">SUM('P&amp;L Monthly'!N20:Y20)</f>
        <v>3845400</v>
      </c>
      <c r="D13" s="38" t="n">
        <f aca="false">SUM('P&amp;L Monthly'!Z20:AK20)</f>
        <v>16453800</v>
      </c>
      <c r="E13" s="14" t="n">
        <f aca="false">SUM(B13:D13)</f>
        <v>20850600</v>
      </c>
    </row>
    <row r="14" customFormat="false" ht="15" hidden="false" customHeight="true" outlineLevel="0" collapsed="false">
      <c r="A14" s="5" t="s">
        <v>348</v>
      </c>
      <c r="B14" s="38" t="n">
        <f aca="false">SUM('P&amp;L Monthly'!B26:M26)</f>
        <v>178086</v>
      </c>
      <c r="C14" s="38" t="n">
        <f aca="false">SUM('P&amp;L Monthly'!N26:Y26)</f>
        <v>2452005</v>
      </c>
      <c r="D14" s="38" t="n">
        <f aca="false">SUM('P&amp;L Monthly'!Z26:AK26)</f>
        <v>20361343.2</v>
      </c>
      <c r="E14" s="14" t="n">
        <f aca="false">SUM(B14:D14)</f>
        <v>22991434.2</v>
      </c>
    </row>
    <row r="15" customFormat="false" ht="15" hidden="false" customHeight="true" outlineLevel="0" collapsed="false">
      <c r="A15" s="43" t="s">
        <v>349</v>
      </c>
      <c r="B15" s="44" t="n">
        <f aca="false">SUM('P&amp;L Monthly'!B29:M29)</f>
        <v>3143103.5</v>
      </c>
      <c r="C15" s="44" t="n">
        <f aca="false">SUM('P&amp;L Monthly'!N29:Y29)</f>
        <v>25381586.25</v>
      </c>
      <c r="D15" s="44" t="n">
        <f aca="false">SUM('P&amp;L Monthly'!Z29:AK29)</f>
        <v>126485629.2</v>
      </c>
      <c r="E15" s="12" t="n">
        <f aca="false">SUM(B15:D15)</f>
        <v>155010318.95</v>
      </c>
    </row>
    <row r="16" customFormat="false" ht="15" hidden="false" customHeight="true" outlineLevel="0" collapsed="false">
      <c r="A16" s="43" t="s">
        <v>335</v>
      </c>
      <c r="B16" s="44" t="n">
        <f aca="false">SUM('P&amp;L Monthly'!B30:M30)</f>
        <v>-175003.5</v>
      </c>
      <c r="C16" s="44" t="n">
        <f aca="false">SUM('P&amp;L Monthly'!N30:Y30)</f>
        <v>15485163.75</v>
      </c>
      <c r="D16" s="44" t="n">
        <f aca="false">SUM('P&amp;L Monthly'!Z30:AK30)</f>
        <v>58617490.8</v>
      </c>
      <c r="E16" s="12" t="n">
        <f aca="false">SUM(B16:D16)</f>
        <v>73927651.05</v>
      </c>
    </row>
    <row r="19" customFormat="false" ht="15" hidden="false" customHeight="true" outlineLevel="0" collapsed="false">
      <c r="A19" s="34" t="s">
        <v>350</v>
      </c>
      <c r="B19" s="34"/>
      <c r="C19" s="34"/>
      <c r="D19" s="34"/>
      <c r="E19" s="34"/>
    </row>
    <row r="20" customFormat="false" ht="15" hidden="false" customHeight="true" outlineLevel="0" collapsed="false">
      <c r="A20" s="9" t="s">
        <v>323</v>
      </c>
      <c r="B20" s="37" t="n">
        <f aca="false">IF(B5=0,0,B10/B5)</f>
        <v>0.676015801354402</v>
      </c>
      <c r="C20" s="37" t="n">
        <f aca="false">IF(C5=0,0,C10/C5)</f>
        <v>0.676015801354402</v>
      </c>
      <c r="D20" s="37" t="n">
        <f aca="false">IF(D5=0,0,D10/D5)</f>
        <v>0.676015801354402</v>
      </c>
    </row>
    <row r="21" customFormat="false" ht="15" hidden="false" customHeight="true" outlineLevel="0" collapsed="false">
      <c r="A21" s="9" t="s">
        <v>351</v>
      </c>
      <c r="B21" s="37" t="n">
        <f aca="false">IF(B5=0,0,B16/B5)</f>
        <v>-0.058961456824231</v>
      </c>
      <c r="C21" s="37" t="n">
        <f aca="false">IF(C5=0,0,C16/C5)</f>
        <v>0.378918405549744</v>
      </c>
      <c r="D21" s="37" t="n">
        <f aca="false">IF(D5=0,0,D16/D5)</f>
        <v>0.316674785384493</v>
      </c>
    </row>
    <row r="22" customFormat="false" ht="15" hidden="false" customHeight="true" outlineLevel="0" collapsed="false">
      <c r="A22" s="9" t="s">
        <v>352</v>
      </c>
      <c r="B22" s="45" t="s">
        <v>353</v>
      </c>
      <c r="C22" s="37" t="n">
        <f aca="false">IF(B5=0,0,(C5/B5)-1)</f>
        <v>12.7686567164179</v>
      </c>
      <c r="D22" s="37" t="n">
        <f aca="false">IF(C5=0,0,(D5/C5)-1)</f>
        <v>3.52943089430894</v>
      </c>
    </row>
    <row r="23" customFormat="false" ht="15" hidden="false" customHeight="true" outlineLevel="0" collapsed="false">
      <c r="A23" s="9" t="s">
        <v>354</v>
      </c>
      <c r="B23" s="45" t="s">
        <v>353</v>
      </c>
      <c r="C23" s="46" t="n">
        <f aca="false">((C5/B5)-1)*100+(C16/C5)*100</f>
        <v>1314.75751219677</v>
      </c>
      <c r="D23" s="46" t="n">
        <f aca="false">((D5/C5)-1)*100+(D16/D5)*100</f>
        <v>384.610567969344</v>
      </c>
    </row>
    <row r="25" customFormat="false" ht="15" hidden="false" customHeight="true" outlineLevel="0" collapsed="false">
      <c r="A25" s="5" t="s">
        <v>355</v>
      </c>
      <c r="B25" s="14" t="n">
        <f aca="false">B5/12/((B4+IF(COLUMN()=2,0,A4))/2)</f>
        <v>1236.70833333333</v>
      </c>
      <c r="C25" s="14" t="n">
        <f aca="false">C5/12/((C4+IF(COLUMN()=2,0,B4))/2)</f>
        <v>2348.66379310345</v>
      </c>
      <c r="D25" s="14" t="n">
        <f aca="false">D5/12/((D4+IF(COLUMN()=2,0,C4))/2)</f>
        <v>2329.92372177328</v>
      </c>
    </row>
  </sheetData>
  <mergeCells count="2">
    <mergeCell ref="A1:E1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4.2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7.05"/>
    <col collapsed="false" customWidth="true" hidden="false" outlineLevel="0" max="6" min="3" style="0" width="22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1" t="s">
        <v>356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357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4" t="s">
        <v>358</v>
      </c>
      <c r="B4" s="34"/>
      <c r="C4" s="34"/>
      <c r="D4" s="34"/>
      <c r="E4" s="34"/>
      <c r="F4" s="34"/>
    </row>
    <row r="5" customFormat="false" ht="15" hidden="false" customHeight="true" outlineLevel="0" collapsed="false">
      <c r="A5" s="4" t="s">
        <v>359</v>
      </c>
      <c r="B5" s="4" t="s">
        <v>360</v>
      </c>
      <c r="C5" s="4" t="s">
        <v>3</v>
      </c>
      <c r="D5" s="4" t="s">
        <v>361</v>
      </c>
      <c r="E5" s="4" t="s">
        <v>362</v>
      </c>
      <c r="F5" s="4" t="s">
        <v>363</v>
      </c>
    </row>
    <row r="6" customFormat="false" ht="15" hidden="false" customHeight="true" outlineLevel="0" collapsed="false">
      <c r="A6" s="9" t="s">
        <v>364</v>
      </c>
      <c r="B6" s="5" t="s">
        <v>365</v>
      </c>
      <c r="C6" s="5" t="s">
        <v>366</v>
      </c>
      <c r="D6" s="14" t="n">
        <f aca="false">Assumptions!B154</f>
        <v>90000</v>
      </c>
      <c r="E6" s="14" t="n">
        <f aca="false">Assumptions!C154</f>
        <v>365755.5</v>
      </c>
      <c r="F6" s="14" t="n">
        <f aca="false">Assumptions!D154</f>
        <v>731511</v>
      </c>
    </row>
    <row r="7" customFormat="false" ht="15" hidden="false" customHeight="true" outlineLevel="0" collapsed="false">
      <c r="A7" s="9" t="s">
        <v>367</v>
      </c>
      <c r="B7" s="5" t="s">
        <v>368</v>
      </c>
      <c r="C7" s="5" t="s">
        <v>369</v>
      </c>
      <c r="D7" s="14" t="n">
        <f aca="false">'Annual Summary'!B6*(1-200/330)</f>
        <v>174200</v>
      </c>
      <c r="E7" s="14" t="n">
        <f aca="false">'Annual Summary'!C6*(1-200/330)</f>
        <v>2398500</v>
      </c>
      <c r="F7" s="14" t="n">
        <f aca="false">'Annual Summary'!D6*(1-200/330)</f>
        <v>10863840</v>
      </c>
    </row>
    <row r="8" customFormat="false" ht="15" hidden="false" customHeight="true" outlineLevel="0" collapsed="false">
      <c r="A8" s="9" t="s">
        <v>370</v>
      </c>
      <c r="B8" s="5" t="s">
        <v>371</v>
      </c>
      <c r="C8" s="5" t="s">
        <v>372</v>
      </c>
      <c r="D8" s="14" t="n">
        <f aca="false">0</f>
        <v>0</v>
      </c>
      <c r="E8" s="14" t="n">
        <f aca="false">0</f>
        <v>0</v>
      </c>
      <c r="F8" s="14" t="n">
        <f aca="false">'Annual Summary'!D5*Assumptions!B68</f>
        <v>9255156</v>
      </c>
    </row>
    <row r="9" customFormat="false" ht="15" hidden="false" customHeight="true" outlineLevel="0" collapsed="false">
      <c r="A9" s="43" t="s">
        <v>373</v>
      </c>
      <c r="D9" s="12" t="n">
        <f aca="false">SUM(D6:D8)</f>
        <v>264200</v>
      </c>
      <c r="E9" s="12" t="n">
        <f aca="false">SUM(E6:E8)</f>
        <v>2764255.5</v>
      </c>
      <c r="F9" s="12" t="n">
        <f aca="false">SUM(F6:F8)</f>
        <v>20850507</v>
      </c>
    </row>
    <row r="11" customFormat="false" ht="15" hidden="false" customHeight="true" outlineLevel="0" collapsed="false">
      <c r="A11" s="34" t="s">
        <v>374</v>
      </c>
      <c r="B11" s="34"/>
      <c r="C11" s="34"/>
      <c r="D11" s="34"/>
      <c r="E11" s="34"/>
      <c r="F11" s="34"/>
    </row>
    <row r="12" customFormat="false" ht="15" hidden="false" customHeight="true" outlineLevel="0" collapsed="false">
      <c r="A12" s="4" t="s">
        <v>375</v>
      </c>
      <c r="B12" s="4" t="s">
        <v>376</v>
      </c>
      <c r="C12" s="4" t="s">
        <v>377</v>
      </c>
      <c r="D12" s="4" t="s">
        <v>378</v>
      </c>
      <c r="E12" s="4" t="s">
        <v>379</v>
      </c>
      <c r="F12" s="4" t="s">
        <v>380</v>
      </c>
    </row>
    <row r="13" customFormat="false" ht="15" hidden="false" customHeight="true" outlineLevel="0" collapsed="false">
      <c r="A13" s="5" t="s">
        <v>381</v>
      </c>
      <c r="B13" s="38" t="n">
        <f aca="false">'Annual Summary'!B16</f>
        <v>-175003.5</v>
      </c>
      <c r="C13" s="38" t="n">
        <f aca="false">'Annual Summary'!C16</f>
        <v>15485163.75</v>
      </c>
      <c r="D13" s="38" t="n">
        <f aca="false">'Annual Summary'!D16</f>
        <v>58617490.8</v>
      </c>
      <c r="E13" s="47" t="n">
        <f aca="false">SUM(B13:D13)</f>
        <v>73927651.05</v>
      </c>
      <c r="F13" s="48" t="n">
        <v>0</v>
      </c>
    </row>
    <row r="14" customFormat="false" ht="15" hidden="false" customHeight="true" outlineLevel="0" collapsed="false">
      <c r="A14" s="5" t="s">
        <v>382</v>
      </c>
      <c r="B14" s="14" t="n">
        <f aca="false">B13+D6</f>
        <v>-85003.5</v>
      </c>
      <c r="C14" s="14" t="n">
        <f aca="false">C13+E6</f>
        <v>15850919.25</v>
      </c>
      <c r="D14" s="14" t="n">
        <f aca="false">D13+F6</f>
        <v>59349001.8</v>
      </c>
      <c r="E14" s="13" t="n">
        <f aca="false">SUM(B14:D14)</f>
        <v>75114917.55</v>
      </c>
      <c r="F14" s="14" t="n">
        <f aca="false">E14-E13</f>
        <v>1187266.5</v>
      </c>
    </row>
    <row r="15" customFormat="false" ht="15" hidden="false" customHeight="true" outlineLevel="0" collapsed="false">
      <c r="A15" s="5" t="s">
        <v>383</v>
      </c>
      <c r="B15" s="14" t="n">
        <f aca="false">B13+D7</f>
        <v>-803.5</v>
      </c>
      <c r="C15" s="14" t="n">
        <f aca="false">C13+E7</f>
        <v>17883663.75</v>
      </c>
      <c r="D15" s="14" t="n">
        <f aca="false">D13+F7</f>
        <v>69481330.8</v>
      </c>
      <c r="E15" s="13" t="n">
        <f aca="false">SUM(B15:D15)</f>
        <v>87364191.05</v>
      </c>
      <c r="F15" s="14" t="n">
        <f aca="false">E15-E13</f>
        <v>13436540</v>
      </c>
    </row>
    <row r="16" customFormat="false" ht="15" hidden="false" customHeight="true" outlineLevel="0" collapsed="false">
      <c r="A16" s="5" t="s">
        <v>384</v>
      </c>
      <c r="B16" s="14" t="n">
        <f aca="false">B13+D8</f>
        <v>-175003.5</v>
      </c>
      <c r="C16" s="14" t="n">
        <f aca="false">C13+E8</f>
        <v>15485163.75</v>
      </c>
      <c r="D16" s="14" t="n">
        <f aca="false">D13+F8</f>
        <v>67872646.8</v>
      </c>
      <c r="E16" s="13" t="n">
        <f aca="false">SUM(B16:D16)</f>
        <v>83182807.05</v>
      </c>
      <c r="F16" s="14" t="n">
        <f aca="false">E16-E13</f>
        <v>9255156</v>
      </c>
    </row>
    <row r="17" customFormat="false" ht="15" hidden="false" customHeight="true" outlineLevel="0" collapsed="false">
      <c r="A17" s="49" t="s">
        <v>385</v>
      </c>
      <c r="B17" s="50" t="n">
        <f aca="false">B13+D9</f>
        <v>89196.5</v>
      </c>
      <c r="C17" s="50" t="n">
        <f aca="false">C13+E9</f>
        <v>18249419.25</v>
      </c>
      <c r="D17" s="50" t="n">
        <f aca="false">D13+F9</f>
        <v>79467997.8</v>
      </c>
      <c r="E17" s="50" t="n">
        <f aca="false">SUM(B17:D17)</f>
        <v>97806613.55</v>
      </c>
      <c r="F17" s="50" t="n">
        <f aca="false">E17-E13</f>
        <v>23878962.5</v>
      </c>
    </row>
    <row r="19" customFormat="false" ht="15" hidden="false" customHeight="true" outlineLevel="0" collapsed="false">
      <c r="A19" s="34" t="s">
        <v>386</v>
      </c>
      <c r="B19" s="34"/>
      <c r="C19" s="34"/>
      <c r="D19" s="34"/>
      <c r="E19" s="34"/>
      <c r="F19" s="34"/>
    </row>
    <row r="20" customFormat="false" ht="15" hidden="false" customHeight="true" outlineLevel="0" collapsed="false">
      <c r="A20" s="4" t="s">
        <v>375</v>
      </c>
      <c r="B20" s="4" t="s">
        <v>148</v>
      </c>
      <c r="C20" s="4" t="s">
        <v>151</v>
      </c>
      <c r="D20" s="4" t="s">
        <v>155</v>
      </c>
      <c r="E20" s="4" t="s">
        <v>387</v>
      </c>
    </row>
    <row r="21" customFormat="false" ht="15" hidden="false" customHeight="true" outlineLevel="0" collapsed="false">
      <c r="A21" s="5" t="s">
        <v>388</v>
      </c>
      <c r="B21" s="37" t="n">
        <f aca="false">B13/'Annual Summary'!B5</f>
        <v>-0.058961456824231</v>
      </c>
      <c r="C21" s="37" t="n">
        <f aca="false">C13/'Annual Summary'!C5</f>
        <v>0.378918405549744</v>
      </c>
      <c r="D21" s="37" t="n">
        <f aca="false">D13/'Annual Summary'!D5</f>
        <v>0.316674785384493</v>
      </c>
      <c r="E21" s="7" t="s">
        <v>389</v>
      </c>
    </row>
    <row r="22" customFormat="false" ht="15" hidden="false" customHeight="true" outlineLevel="0" collapsed="false">
      <c r="A22" s="5" t="s">
        <v>382</v>
      </c>
      <c r="B22" s="37" t="n">
        <f aca="false">B14/'Annual Summary'!B5</f>
        <v>-0.0286390283346248</v>
      </c>
      <c r="C22" s="37" t="n">
        <f aca="false">C14/'Annual Summary'!C5</f>
        <v>0.387868358751308</v>
      </c>
      <c r="D22" s="37" t="n">
        <f aca="false">D14/'Annual Summary'!D5</f>
        <v>0.320626696081622</v>
      </c>
    </row>
    <row r="23" customFormat="false" ht="15" hidden="false" customHeight="true" outlineLevel="0" collapsed="false">
      <c r="A23" s="5" t="s">
        <v>383</v>
      </c>
      <c r="B23" s="37" t="n">
        <f aca="false">B15/'Annual Summary'!B5</f>
        <v>-0.000270711903237762</v>
      </c>
      <c r="C23" s="37" t="n">
        <f aca="false">C15/'Annual Summary'!C5</f>
        <v>0.437609150470737</v>
      </c>
      <c r="D23" s="37" t="n">
        <f aca="false">D15/'Annual Summary'!D5</f>
        <v>0.375365530305486</v>
      </c>
    </row>
    <row r="24" customFormat="false" ht="15" hidden="false" customHeight="true" outlineLevel="0" collapsed="false">
      <c r="A24" s="5" t="s">
        <v>384</v>
      </c>
      <c r="B24" s="37" t="n">
        <f aca="false">B16/'Annual Summary'!B5</f>
        <v>-0.058961456824231</v>
      </c>
      <c r="C24" s="37" t="n">
        <f aca="false">C16/'Annual Summary'!C5</f>
        <v>0.378918405549744</v>
      </c>
      <c r="D24" s="37" t="n">
        <f aca="false">D16/'Annual Summary'!D5</f>
        <v>0.366674785384493</v>
      </c>
    </row>
    <row r="25" customFormat="false" ht="15" hidden="false" customHeight="true" outlineLevel="0" collapsed="false">
      <c r="A25" s="49" t="s">
        <v>385</v>
      </c>
      <c r="B25" s="51" t="n">
        <f aca="false">B17/'Annual Summary'!B5</f>
        <v>0.0300517165863684</v>
      </c>
      <c r="C25" s="51" t="n">
        <f aca="false">C17/'Annual Summary'!C5</f>
        <v>0.446559103672301</v>
      </c>
      <c r="D25" s="51" t="n">
        <f aca="false">D17/'Annual Summary'!D5</f>
        <v>0.429317441002615</v>
      </c>
      <c r="E25" s="7" t="s">
        <v>390</v>
      </c>
    </row>
    <row r="27" customFormat="false" ht="15" hidden="false" customHeight="true" outlineLevel="0" collapsed="false">
      <c r="A27" s="34" t="s">
        <v>391</v>
      </c>
      <c r="B27" s="34"/>
      <c r="C27" s="34"/>
      <c r="D27" s="34"/>
      <c r="E27" s="34"/>
      <c r="F27" s="34"/>
    </row>
    <row r="28" customFormat="false" ht="15" hidden="false" customHeight="true" outlineLevel="0" collapsed="false">
      <c r="A28" s="52" t="s">
        <v>392</v>
      </c>
      <c r="B28" s="52"/>
      <c r="C28" s="52"/>
      <c r="D28" s="52"/>
      <c r="E28" s="52"/>
      <c r="F28" s="52"/>
    </row>
    <row r="29" customFormat="false" ht="15" hidden="false" customHeight="true" outlineLevel="0" collapsed="false">
      <c r="A29" s="52" t="s">
        <v>393</v>
      </c>
      <c r="B29" s="52"/>
      <c r="C29" s="52"/>
      <c r="D29" s="52"/>
      <c r="E29" s="52"/>
      <c r="F29" s="52"/>
    </row>
    <row r="30" customFormat="false" ht="15" hidden="false" customHeight="true" outlineLevel="0" collapsed="false">
      <c r="A30" s="52" t="s">
        <v>394</v>
      </c>
      <c r="B30" s="52"/>
      <c r="C30" s="52"/>
      <c r="D30" s="52"/>
      <c r="E30" s="52"/>
      <c r="F30" s="52"/>
    </row>
    <row r="31" customFormat="false" ht="15" hidden="false" customHeight="true" outlineLevel="0" collapsed="false">
      <c r="A31" s="52" t="s">
        <v>395</v>
      </c>
      <c r="B31" s="52"/>
      <c r="C31" s="52"/>
      <c r="D31" s="52"/>
      <c r="E31" s="52"/>
      <c r="F31" s="52"/>
    </row>
    <row r="34" customFormat="false" ht="15" hidden="false" customHeight="true" outlineLevel="0" collapsed="false">
      <c r="A34" s="53" t="s">
        <v>396</v>
      </c>
    </row>
    <row r="35" customFormat="false" ht="15" hidden="false" customHeight="true" outlineLevel="0" collapsed="false">
      <c r="A35" s="0" t="s">
        <v>397</v>
      </c>
    </row>
    <row r="37" customFormat="false" ht="15" hidden="false" customHeight="true" outlineLevel="0" collapsed="false">
      <c r="A37" s="19" t="s">
        <v>398</v>
      </c>
    </row>
    <row r="38" customFormat="false" ht="15" hidden="false" customHeight="true" outlineLevel="0" collapsed="false">
      <c r="A38" s="16" t="s">
        <v>276</v>
      </c>
      <c r="B38" s="16" t="s">
        <v>399</v>
      </c>
      <c r="C38" s="16" t="s">
        <v>400</v>
      </c>
      <c r="D38" s="16" t="s">
        <v>401</v>
      </c>
      <c r="E38" s="16" t="s">
        <v>402</v>
      </c>
    </row>
    <row r="39" customFormat="false" ht="15" hidden="false" customHeight="true" outlineLevel="0" collapsed="false">
      <c r="A39" s="0" t="s">
        <v>289</v>
      </c>
      <c r="B39" s="54" t="n">
        <v>1273625</v>
      </c>
      <c r="C39" s="54" t="n">
        <v>1273625</v>
      </c>
      <c r="D39" s="55" t="s">
        <v>403</v>
      </c>
      <c r="E39" s="0" t="s">
        <v>403</v>
      </c>
    </row>
    <row r="40" customFormat="false" ht="15" hidden="false" customHeight="true" outlineLevel="0" collapsed="false">
      <c r="A40" s="0" t="s">
        <v>290</v>
      </c>
      <c r="B40" s="54" t="n">
        <v>1661250</v>
      </c>
      <c r="C40" s="54" t="n">
        <v>2934875</v>
      </c>
      <c r="D40" s="55" t="s">
        <v>403</v>
      </c>
      <c r="E40" s="0" t="s">
        <v>403</v>
      </c>
    </row>
    <row r="41" customFormat="false" ht="15" hidden="false" customHeight="true" outlineLevel="0" collapsed="false">
      <c r="A41" s="0" t="s">
        <v>291</v>
      </c>
      <c r="B41" s="54" t="n">
        <v>2048875</v>
      </c>
      <c r="C41" s="54" t="n">
        <v>4983750</v>
      </c>
      <c r="D41" s="55" t="s">
        <v>403</v>
      </c>
      <c r="E41" s="0" t="s">
        <v>403</v>
      </c>
    </row>
    <row r="42" customFormat="false" ht="15" hidden="false" customHeight="true" outlineLevel="0" collapsed="false">
      <c r="A42" s="0" t="s">
        <v>292</v>
      </c>
      <c r="B42" s="54" t="n">
        <v>2436500</v>
      </c>
      <c r="C42" s="54" t="n">
        <v>7420250</v>
      </c>
      <c r="D42" s="55" t="s">
        <v>403</v>
      </c>
      <c r="E42" s="0" t="s">
        <v>403</v>
      </c>
    </row>
    <row r="43" customFormat="false" ht="15" hidden="false" customHeight="true" outlineLevel="0" collapsed="false">
      <c r="A43" s="0" t="s">
        <v>293</v>
      </c>
      <c r="B43" s="54" t="n">
        <v>2824125</v>
      </c>
      <c r="C43" s="54" t="n">
        <v>10244375</v>
      </c>
      <c r="D43" s="55" t="s">
        <v>403</v>
      </c>
      <c r="E43" s="0" t="s">
        <v>403</v>
      </c>
    </row>
    <row r="44" customFormat="false" ht="15" hidden="false" customHeight="true" outlineLevel="0" collapsed="false">
      <c r="A44" s="0" t="s">
        <v>294</v>
      </c>
      <c r="B44" s="54" t="n">
        <v>3211750</v>
      </c>
      <c r="C44" s="54" t="n">
        <v>13456125</v>
      </c>
      <c r="D44" s="55" t="s">
        <v>403</v>
      </c>
      <c r="E44" s="0" t="s">
        <v>403</v>
      </c>
    </row>
    <row r="45" customFormat="false" ht="15" hidden="false" customHeight="true" outlineLevel="0" collapsed="false">
      <c r="A45" s="0" t="s">
        <v>295</v>
      </c>
      <c r="B45" s="54" t="n">
        <v>3599375</v>
      </c>
      <c r="C45" s="54" t="n">
        <v>17055500</v>
      </c>
      <c r="D45" s="55" t="s">
        <v>403</v>
      </c>
      <c r="E45" s="0" t="s">
        <v>403</v>
      </c>
    </row>
    <row r="46" customFormat="false" ht="15" hidden="false" customHeight="true" outlineLevel="0" collapsed="false">
      <c r="A46" s="0" t="s">
        <v>296</v>
      </c>
      <c r="B46" s="54" t="n">
        <v>3987000</v>
      </c>
      <c r="C46" s="54" t="n">
        <v>21042500</v>
      </c>
      <c r="D46" s="56" t="s">
        <v>404</v>
      </c>
      <c r="E46" s="0" t="s">
        <v>405</v>
      </c>
    </row>
    <row r="47" customFormat="false" ht="15" hidden="false" customHeight="true" outlineLevel="0" collapsed="false">
      <c r="A47" s="0" t="s">
        <v>297</v>
      </c>
      <c r="B47" s="54" t="n">
        <v>4374625</v>
      </c>
      <c r="C47" s="54" t="n">
        <v>25417125</v>
      </c>
      <c r="D47" s="57" t="s">
        <v>404</v>
      </c>
      <c r="E47" s="57" t="s">
        <v>406</v>
      </c>
    </row>
    <row r="48" customFormat="false" ht="15" hidden="false" customHeight="true" outlineLevel="0" collapsed="false">
      <c r="A48" s="0" t="s">
        <v>298</v>
      </c>
      <c r="B48" s="54" t="n">
        <v>4762250</v>
      </c>
      <c r="C48" s="54" t="n">
        <v>30179375</v>
      </c>
      <c r="D48" s="57" t="s">
        <v>404</v>
      </c>
      <c r="E48" s="57" t="s">
        <v>407</v>
      </c>
    </row>
    <row r="49" customFormat="false" ht="15" hidden="false" customHeight="true" outlineLevel="0" collapsed="false">
      <c r="A49" s="0" t="s">
        <v>299</v>
      </c>
      <c r="B49" s="54" t="n">
        <v>5149875</v>
      </c>
      <c r="C49" s="54" t="n">
        <v>35329250</v>
      </c>
      <c r="D49" s="57" t="s">
        <v>404</v>
      </c>
      <c r="E49" s="57" t="s">
        <v>408</v>
      </c>
    </row>
    <row r="50" customFormat="false" ht="15" hidden="false" customHeight="true" outlineLevel="0" collapsed="false">
      <c r="A50" s="0" t="s">
        <v>300</v>
      </c>
      <c r="B50" s="54" t="n">
        <v>5537500</v>
      </c>
      <c r="C50" s="54" t="n">
        <v>40866750</v>
      </c>
      <c r="D50" s="57" t="s">
        <v>404</v>
      </c>
      <c r="E50" s="57" t="s">
        <v>409</v>
      </c>
    </row>
    <row r="51" customFormat="false" ht="15" hidden="false" customHeight="true" outlineLevel="0" collapsed="false">
      <c r="A51" s="19" t="s">
        <v>410</v>
      </c>
      <c r="E51" s="58" t="n">
        <v>991212.5</v>
      </c>
    </row>
    <row r="54" customFormat="false" ht="15" hidden="false" customHeight="true" outlineLevel="0" collapsed="false">
      <c r="A54" s="4" t="s">
        <v>411</v>
      </c>
    </row>
    <row r="55" customFormat="false" ht="15" hidden="false" customHeight="true" outlineLevel="0" collapsed="false">
      <c r="A55" s="16" t="s">
        <v>339</v>
      </c>
      <c r="B55" s="16" t="s">
        <v>412</v>
      </c>
      <c r="C55" s="16" t="s">
        <v>413</v>
      </c>
      <c r="D55" s="16" t="s">
        <v>414</v>
      </c>
      <c r="E55" s="16" t="s">
        <v>415</v>
      </c>
    </row>
    <row r="56" customFormat="false" ht="15" hidden="false" customHeight="true" outlineLevel="0" collapsed="false">
      <c r="A56" s="0" t="s">
        <v>416</v>
      </c>
      <c r="B56" s="54" t="n">
        <v>15485164</v>
      </c>
      <c r="C56" s="54" t="n">
        <v>14493951.5</v>
      </c>
      <c r="D56" s="54" t="n">
        <v>-991212.5</v>
      </c>
      <c r="E56" s="59" t="n">
        <v>-0.0640104618846788</v>
      </c>
    </row>
    <row r="57" customFormat="false" ht="15" hidden="false" customHeight="true" outlineLevel="0" collapsed="false">
      <c r="A57" s="0" t="s">
        <v>417</v>
      </c>
      <c r="B57" s="59" t="n">
        <v>0.378918411667187</v>
      </c>
      <c r="C57" s="59" t="n">
        <v>0.354663669119761</v>
      </c>
      <c r="D57" s="59" t="n">
        <v>-0.0242547425474255</v>
      </c>
    </row>
    <row r="58" customFormat="false" ht="15" hidden="false" customHeight="true" outlineLevel="0" collapsed="false">
      <c r="A58" s="0" t="s">
        <v>418</v>
      </c>
      <c r="B58" s="54" t="n">
        <v>58617491</v>
      </c>
      <c r="C58" s="54" t="n">
        <v>58617491</v>
      </c>
      <c r="D58" s="0" t="n">
        <v>0</v>
      </c>
      <c r="E58" s="0" t="s">
        <v>419</v>
      </c>
    </row>
    <row r="59" customFormat="false" ht="15" hidden="false" customHeight="true" outlineLevel="0" collapsed="false">
      <c r="A59" s="19" t="s">
        <v>420</v>
      </c>
      <c r="B59" s="54" t="n">
        <v>73927651</v>
      </c>
      <c r="C59" s="54" t="n">
        <v>72936438.5</v>
      </c>
      <c r="D59" s="54" t="n">
        <v>-991212.5</v>
      </c>
      <c r="E59" s="59" t="n">
        <v>-0.0134078722452577</v>
      </c>
    </row>
    <row r="60" customFormat="false" ht="15" hidden="false" customHeight="true" outlineLevel="0" collapsed="false">
      <c r="A60" s="0" t="s">
        <v>421</v>
      </c>
      <c r="B60" s="0" t="s">
        <v>286</v>
      </c>
      <c r="C60" s="0" t="s">
        <v>422</v>
      </c>
      <c r="D60" s="0" t="s">
        <v>423</v>
      </c>
    </row>
    <row r="63" customFormat="false" ht="15" hidden="false" customHeight="true" outlineLevel="0" collapsed="false">
      <c r="A63" s="60" t="s">
        <v>424</v>
      </c>
    </row>
    <row r="64" customFormat="false" ht="15" hidden="false" customHeight="true" outlineLevel="0" collapsed="false">
      <c r="A64" s="19" t="s">
        <v>425</v>
      </c>
      <c r="B64" s="0" t="s">
        <v>426</v>
      </c>
    </row>
    <row r="65" customFormat="false" ht="15" hidden="false" customHeight="true" outlineLevel="0" collapsed="false">
      <c r="A65" s="19" t="s">
        <v>427</v>
      </c>
      <c r="B65" s="0" t="s">
        <v>428</v>
      </c>
    </row>
    <row r="66" customFormat="false" ht="15" hidden="false" customHeight="true" outlineLevel="0" collapsed="false">
      <c r="A66" s="19" t="s">
        <v>429</v>
      </c>
      <c r="B66" s="0" t="s">
        <v>430</v>
      </c>
    </row>
    <row r="67" customFormat="false" ht="15" hidden="false" customHeight="true" outlineLevel="0" collapsed="false">
      <c r="A67" s="19" t="s">
        <v>431</v>
      </c>
      <c r="B67" s="0" t="s">
        <v>432</v>
      </c>
    </row>
    <row r="68" customFormat="false" ht="15" hidden="false" customHeight="true" outlineLevel="0" collapsed="false">
      <c r="A68" s="19" t="s">
        <v>433</v>
      </c>
      <c r="B68" s="0" t="s">
        <v>434</v>
      </c>
    </row>
    <row r="69" customFormat="false" ht="15" hidden="false" customHeight="true" outlineLevel="0" collapsed="false">
      <c r="A69" s="19" t="s">
        <v>435</v>
      </c>
      <c r="B69" s="0" t="s">
        <v>436</v>
      </c>
    </row>
    <row r="72" customFormat="false" ht="15" hidden="false" customHeight="true" outlineLevel="0" collapsed="false">
      <c r="A72" s="60" t="s">
        <v>437</v>
      </c>
    </row>
    <row r="73" customFormat="false" ht="15" hidden="false" customHeight="true" outlineLevel="0" collapsed="false">
      <c r="A73" s="0" t="s">
        <v>438</v>
      </c>
      <c r="B73" s="0" t="s">
        <v>439</v>
      </c>
    </row>
    <row r="74" customFormat="false" ht="15" hidden="false" customHeight="true" outlineLevel="0" collapsed="false">
      <c r="A74" s="0" t="s">
        <v>438</v>
      </c>
      <c r="B74" s="0" t="s">
        <v>440</v>
      </c>
    </row>
    <row r="75" customFormat="false" ht="15" hidden="false" customHeight="true" outlineLevel="0" collapsed="false">
      <c r="A75" s="0" t="s">
        <v>438</v>
      </c>
      <c r="B75" s="0" t="s">
        <v>441</v>
      </c>
    </row>
    <row r="76" customFormat="false" ht="15" hidden="false" customHeight="true" outlineLevel="0" collapsed="false">
      <c r="A76" s="0" t="s">
        <v>438</v>
      </c>
      <c r="B76" s="0" t="s">
        <v>442</v>
      </c>
    </row>
    <row r="77" customFormat="false" ht="15" hidden="false" customHeight="true" outlineLevel="0" collapsed="false">
      <c r="A77" s="0" t="s">
        <v>438</v>
      </c>
      <c r="B77" s="0" t="s">
        <v>443</v>
      </c>
    </row>
    <row r="80" customFormat="false" ht="15" hidden="false" customHeight="true" outlineLevel="0" collapsed="false">
      <c r="A80" s="4" t="s">
        <v>444</v>
      </c>
    </row>
    <row r="81" customFormat="false" ht="15" hidden="false" customHeight="true" outlineLevel="0" collapsed="false">
      <c r="A81" s="0" t="s">
        <v>445</v>
      </c>
    </row>
    <row r="83" customFormat="false" ht="15" hidden="false" customHeight="true" outlineLevel="0" collapsed="false">
      <c r="A83" s="16" t="s">
        <v>446</v>
      </c>
      <c r="B83" s="16" t="s">
        <v>447</v>
      </c>
      <c r="C83" s="16" t="s">
        <v>448</v>
      </c>
      <c r="D83" s="16" t="s">
        <v>449</v>
      </c>
      <c r="E83" s="16" t="s">
        <v>450</v>
      </c>
      <c r="F83" s="16" t="s">
        <v>418</v>
      </c>
      <c r="G83" s="16" t="s">
        <v>451</v>
      </c>
      <c r="H83" s="16" t="s">
        <v>452</v>
      </c>
    </row>
    <row r="84" customFormat="false" ht="15" hidden="false" customHeight="true" outlineLevel="0" collapsed="false">
      <c r="A84" s="61" t="s">
        <v>453</v>
      </c>
      <c r="B84" s="62" t="n">
        <v>2400000</v>
      </c>
      <c r="C84" s="63" t="n">
        <v>1100</v>
      </c>
      <c r="D84" s="63" t="n">
        <v>8541</v>
      </c>
      <c r="E84" s="62" t="n">
        <v>147189809.879899</v>
      </c>
      <c r="F84" s="62" t="n">
        <v>46868783</v>
      </c>
      <c r="G84" s="64" t="n">
        <v>0.318424101765217</v>
      </c>
      <c r="H84" s="62" t="n">
        <v>-11748708</v>
      </c>
    </row>
    <row r="85" customFormat="false" ht="15" hidden="false" customHeight="true" outlineLevel="0" collapsed="false">
      <c r="A85" s="61" t="s">
        <v>454</v>
      </c>
      <c r="B85" s="62" t="n">
        <v>4800000</v>
      </c>
      <c r="C85" s="63" t="n">
        <v>2200</v>
      </c>
      <c r="D85" s="63" t="n">
        <v>9641</v>
      </c>
      <c r="E85" s="62" t="n">
        <v>166146464.93995</v>
      </c>
      <c r="F85" s="62" t="n">
        <v>52743137</v>
      </c>
      <c r="G85" s="64" t="n">
        <v>0.31744964913375</v>
      </c>
      <c r="H85" s="62" t="n">
        <v>-5874354</v>
      </c>
    </row>
    <row r="86" customFormat="false" ht="15" hidden="false" customHeight="true" outlineLevel="0" collapsed="false">
      <c r="A86" s="25" t="s">
        <v>455</v>
      </c>
      <c r="B86" s="65" t="n">
        <v>7200000</v>
      </c>
      <c r="C86" s="66" t="n">
        <v>3300</v>
      </c>
      <c r="D86" s="66" t="n">
        <v>10741</v>
      </c>
      <c r="E86" s="65" t="n">
        <v>185103120</v>
      </c>
      <c r="F86" s="65" t="n">
        <v>58617491</v>
      </c>
      <c r="G86" s="67" t="n">
        <v>0.316674786464972</v>
      </c>
      <c r="H86" s="65" t="n">
        <v>0</v>
      </c>
    </row>
    <row r="87" customFormat="false" ht="15" hidden="false" customHeight="true" outlineLevel="0" collapsed="false">
      <c r="A87" s="61" t="s">
        <v>456</v>
      </c>
      <c r="B87" s="62" t="n">
        <v>9600000</v>
      </c>
      <c r="C87" s="63" t="n">
        <v>4100</v>
      </c>
      <c r="D87" s="63" t="n">
        <v>11541</v>
      </c>
      <c r="E87" s="62" t="n">
        <v>198889778.225491</v>
      </c>
      <c r="F87" s="62" t="n">
        <v>62235203</v>
      </c>
      <c r="G87" s="64" t="n">
        <v>0.312913029293245</v>
      </c>
      <c r="H87" s="62" t="n">
        <v>3617712</v>
      </c>
    </row>
    <row r="88" customFormat="false" ht="15" hidden="false" customHeight="true" outlineLevel="0" collapsed="false">
      <c r="A88" s="61" t="s">
        <v>457</v>
      </c>
      <c r="B88" s="62" t="n">
        <v>12000000</v>
      </c>
      <c r="C88" s="63" t="n">
        <v>4700</v>
      </c>
      <c r="D88" s="63" t="n">
        <v>12141</v>
      </c>
      <c r="E88" s="62" t="n">
        <v>209229771.894609</v>
      </c>
      <c r="F88" s="62" t="n">
        <v>64348487</v>
      </c>
      <c r="G88" s="64" t="n">
        <v>0.307549381798365</v>
      </c>
      <c r="H88" s="62" t="n">
        <v>5730996</v>
      </c>
    </row>
    <row r="89" customFormat="false" ht="15" hidden="false" customHeight="true" outlineLevel="0" collapsed="false">
      <c r="A89" s="61" t="s">
        <v>458</v>
      </c>
      <c r="B89" s="62" t="n">
        <v>14400000</v>
      </c>
      <c r="C89" s="63" t="n">
        <v>5100</v>
      </c>
      <c r="D89" s="63" t="n">
        <v>12541</v>
      </c>
      <c r="E89" s="62" t="n">
        <v>216123101.007355</v>
      </c>
      <c r="F89" s="62" t="n">
        <v>64957343</v>
      </c>
      <c r="G89" s="64" t="n">
        <v>0.300557148667737</v>
      </c>
      <c r="H89" s="62" t="n">
        <v>6339852</v>
      </c>
    </row>
    <row r="91" customFormat="false" ht="15" hidden="false" customHeight="true" outlineLevel="0" collapsed="false">
      <c r="A91" s="16" t="s">
        <v>459</v>
      </c>
    </row>
    <row r="92" customFormat="false" ht="15" hidden="false" customHeight="true" outlineLevel="0" collapsed="false">
      <c r="A92" s="0" t="s">
        <v>460</v>
      </c>
      <c r="B92" s="0" t="s">
        <v>461</v>
      </c>
    </row>
    <row r="93" customFormat="false" ht="15" hidden="false" customHeight="true" outlineLevel="0" collapsed="false">
      <c r="A93" s="0" t="s">
        <v>462</v>
      </c>
      <c r="B93" s="0" t="s">
        <v>463</v>
      </c>
    </row>
    <row r="94" customFormat="false" ht="15" hidden="false" customHeight="true" outlineLevel="0" collapsed="false">
      <c r="A94" s="0" t="s">
        <v>464</v>
      </c>
      <c r="B94" s="0" t="s">
        <v>465</v>
      </c>
    </row>
    <row r="95" customFormat="false" ht="15" hidden="false" customHeight="true" outlineLevel="0" collapsed="false">
      <c r="A95" s="0" t="s">
        <v>466</v>
      </c>
      <c r="B95" s="0" t="s">
        <v>467</v>
      </c>
    </row>
    <row r="96" customFormat="false" ht="15" hidden="false" customHeight="true" outlineLevel="0" collapsed="false">
      <c r="A96" s="0" t="s">
        <v>468</v>
      </c>
      <c r="B96" s="0" t="s">
        <v>469</v>
      </c>
    </row>
    <row r="97" customFormat="false" ht="15" hidden="false" customHeight="true" outlineLevel="0" collapsed="false">
      <c r="A97" s="0" t="s">
        <v>470</v>
      </c>
      <c r="B97" s="0" t="s">
        <v>471</v>
      </c>
    </row>
    <row r="99" customFormat="false" ht="15" hidden="false" customHeight="true" outlineLevel="0" collapsed="false">
      <c r="A99" s="60" t="s">
        <v>472</v>
      </c>
    </row>
    <row r="100" customFormat="false" ht="15" hidden="false" customHeight="true" outlineLevel="0" collapsed="false">
      <c r="A100" s="0" t="s">
        <v>438</v>
      </c>
      <c r="B100" s="0" t="s">
        <v>473</v>
      </c>
    </row>
    <row r="101" customFormat="false" ht="15" hidden="false" customHeight="true" outlineLevel="0" collapsed="false">
      <c r="A101" s="0" t="s">
        <v>438</v>
      </c>
      <c r="B101" s="0" t="s">
        <v>474</v>
      </c>
    </row>
    <row r="102" customFormat="false" ht="15" hidden="false" customHeight="true" outlineLevel="0" collapsed="false">
      <c r="A102" s="0" t="s">
        <v>438</v>
      </c>
      <c r="B102" s="0" t="s">
        <v>475</v>
      </c>
    </row>
    <row r="103" customFormat="false" ht="15" hidden="false" customHeight="true" outlineLevel="0" collapsed="false">
      <c r="A103" s="0" t="s">
        <v>438</v>
      </c>
      <c r="B103" s="0" t="s">
        <v>476</v>
      </c>
    </row>
    <row r="104" customFormat="false" ht="15" hidden="false" customHeight="true" outlineLevel="0" collapsed="false">
      <c r="A104" s="0" t="s">
        <v>438</v>
      </c>
      <c r="B104" s="0" t="s">
        <v>477</v>
      </c>
    </row>
  </sheetData>
  <mergeCells count="10">
    <mergeCell ref="A1:F1"/>
    <mergeCell ref="A2:F2"/>
    <mergeCell ref="A4:F4"/>
    <mergeCell ref="A11:F11"/>
    <mergeCell ref="A19:F19"/>
    <mergeCell ref="A27:F27"/>
    <mergeCell ref="A28:F28"/>
    <mergeCell ref="A29:F29"/>
    <mergeCell ref="A30:F30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50"/>
  </cols>
  <sheetData>
    <row r="1" customFormat="false" ht="27.75" hidden="false" customHeight="true" outlineLevel="0" collapsed="false">
      <c r="A1" s="1" t="s">
        <v>478</v>
      </c>
      <c r="B1" s="1"/>
      <c r="C1" s="1"/>
    </row>
    <row r="3" customFormat="false" ht="15" hidden="false" customHeight="true" outlineLevel="0" collapsed="false">
      <c r="A3" s="4" t="s">
        <v>479</v>
      </c>
      <c r="B3" s="4" t="s">
        <v>4</v>
      </c>
      <c r="C3" s="4" t="s">
        <v>6</v>
      </c>
    </row>
    <row r="4" customFormat="false" ht="15" hidden="false" customHeight="true" outlineLevel="0" collapsed="false">
      <c r="A4" s="9" t="s">
        <v>480</v>
      </c>
      <c r="B4" s="68" t="n">
        <f aca="false">MATCH(TRUE(),INDEX('P&amp;L Monthly'!B30:AM30&gt;0,0),0)</f>
        <v>10</v>
      </c>
      <c r="C4" s="7" t="s">
        <v>481</v>
      </c>
    </row>
    <row r="5" customFormat="false" ht="15" hidden="false" customHeight="true" outlineLevel="0" collapsed="false">
      <c r="A5" s="9" t="s">
        <v>482</v>
      </c>
      <c r="B5" s="13" t="n">
        <f aca="false">MIN('P&amp;L Monthly'!B33:AM33)</f>
        <v>97819</v>
      </c>
      <c r="C5" s="7" t="s">
        <v>483</v>
      </c>
    </row>
    <row r="6" customFormat="false" ht="15" hidden="false" customHeight="true" outlineLevel="0" collapsed="false">
      <c r="A6" s="5" t="s">
        <v>484</v>
      </c>
      <c r="B6" s="38" t="n">
        <f aca="false">'P&amp;L Monthly'!M33</f>
        <v>824996.5</v>
      </c>
    </row>
    <row r="7" customFormat="false" ht="15" hidden="false" customHeight="true" outlineLevel="0" collapsed="false">
      <c r="A7" s="5" t="s">
        <v>450</v>
      </c>
      <c r="B7" s="38" t="n">
        <f aca="false">'Annual Summary'!D5</f>
        <v>185103120</v>
      </c>
    </row>
    <row r="8" customFormat="false" ht="15" hidden="false" customHeight="true" outlineLevel="0" collapsed="false">
      <c r="A8" s="5" t="s">
        <v>418</v>
      </c>
      <c r="B8" s="38" t="n">
        <f aca="false">'Annual Summary'!D16</f>
        <v>58617490.8</v>
      </c>
    </row>
    <row r="9" customFormat="false" ht="15" hidden="false" customHeight="true" outlineLevel="0" collapsed="false">
      <c r="A9" s="5" t="s">
        <v>485</v>
      </c>
      <c r="B9" s="69" t="n">
        <f aca="false">'Annual Summary'!D16/'Annual Summary'!D5</f>
        <v>0.316674785384493</v>
      </c>
    </row>
    <row r="10" customFormat="false" ht="15" hidden="false" customHeight="true" outlineLevel="0" collapsed="false">
      <c r="A10" s="9" t="s">
        <v>420</v>
      </c>
      <c r="B10" s="70" t="n">
        <f aca="false">'Annual Summary'!E16</f>
        <v>73927651.05</v>
      </c>
    </row>
    <row r="12" customFormat="false" ht="15" hidden="false" customHeight="true" outlineLevel="0" collapsed="false">
      <c r="A12" s="34" t="s">
        <v>486</v>
      </c>
      <c r="B12" s="34"/>
      <c r="C12" s="34"/>
    </row>
    <row r="13" customFormat="false" ht="15" hidden="false" customHeight="true" outlineLevel="0" collapsed="false">
      <c r="A13" s="9" t="s">
        <v>487</v>
      </c>
      <c r="B13" s="47" t="n">
        <f aca="false">Assumptions!$B$13</f>
        <v>2215</v>
      </c>
      <c r="C13" s="7" t="s">
        <v>488</v>
      </c>
    </row>
    <row r="14" customFormat="false" ht="15" hidden="false" customHeight="true" outlineLevel="0" collapsed="false">
      <c r="A14" s="5" t="s">
        <v>489</v>
      </c>
      <c r="B14" s="14" t="n">
        <f aca="false">Assumptions!$B$26+Assumptions!$B$13*Assumptions!$B$27+Assumptions!$B$13*Assumptions!$B$28</f>
        <v>717.625</v>
      </c>
      <c r="C14" s="7" t="s">
        <v>490</v>
      </c>
    </row>
    <row r="15" customFormat="false" ht="15" hidden="false" customHeight="true" outlineLevel="0" collapsed="false">
      <c r="A15" s="9" t="s">
        <v>491</v>
      </c>
      <c r="B15" s="71" t="n">
        <f aca="false">(Assumptions!$B$13-B14)/Assumptions!$B$13</f>
        <v>0.676015801354402</v>
      </c>
      <c r="C15" s="7" t="s">
        <v>492</v>
      </c>
    </row>
    <row r="16" customFormat="false" ht="15" hidden="false" customHeight="true" outlineLevel="0" collapsed="false">
      <c r="A16" s="5" t="s">
        <v>493</v>
      </c>
      <c r="B16" s="14" t="n">
        <f aca="false">(Assumptions!$B$13/Assumptions!$B$22)*(Assumptions!$B$13-B14)/Assumptions!$B$13</f>
        <v>37434.375</v>
      </c>
      <c r="C16" s="7" t="s">
        <v>494</v>
      </c>
    </row>
    <row r="18" customFormat="false" ht="15" hidden="false" customHeight="true" outlineLevel="0" collapsed="false">
      <c r="A18" s="72" t="s">
        <v>495</v>
      </c>
      <c r="B18" s="72"/>
      <c r="C18" s="72"/>
    </row>
  </sheetData>
  <mergeCells count="3">
    <mergeCell ref="A1:C1"/>
    <mergeCell ref="A12:C12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2026-04-29T20:11:49Z</dcterms:created>
  <dc:creator>openpyxl</dc:creator>
  <dc:description/>
  <dc:language>en-US</dc:language>
  <cp:lastModifiedBy>Anna Galieva</cp:lastModifiedBy>
  <dcterms:modified xsi:type="dcterms:W3CDTF">2026-05-28T05:51:40Z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